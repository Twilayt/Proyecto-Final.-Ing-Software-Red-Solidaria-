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48816f02a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4a5f6c080b1940e3"/>
    <x:sheet xmlns:r="http://schemas.openxmlformats.org/officeDocument/2006/relationships" name="Riesgos" sheetId="2" r:id="R4253e79e0ec545a5"/>
    <x:sheet xmlns:r="http://schemas.openxmlformats.org/officeDocument/2006/relationships" name="Recursos" sheetId="3" r:id="R232aecca01d24646"/>
    <x:sheet xmlns:r="http://schemas.openxmlformats.org/officeDocument/2006/relationships" name="Guía y referencias" sheetId="4" r:id="R76322f29c78e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 &quot;sem&quot;"/>
    <x:numFmt numFmtId="201" formatCode="0%"/>
    <x:numFmt numFmtId="202" formatCode="0.0"/>
  </x:numFmts>
  <x:fonts count="8">
    <x:font>
      <x:sz val="11"/>
      <x:name val="Carlito"/>
    </x:font>
    <x:font>
      <x:b/>
      <x:sz val="20"/>
      <x:color rgb="FFFFFFFF"/>
      <x:name val="Carlito"/>
    </x:font>
    <x:font>
      <x:i/>
      <x:sz val="10"/>
      <x:color rgb="FF193B5A"/>
      <x:name val="Carlito"/>
    </x:font>
    <x:font>
      <x:b/>
      <x:sz val="10"/>
      <x:color rgb="FFFFFFFF"/>
      <x:name val="Carlito"/>
    </x:font>
    <x:font>
      <x:b/>
      <x:sz val="15"/>
      <x:color rgb="FF193B5A"/>
      <x:name val="Carlito"/>
    </x:font>
    <x:font>
      <x:sz val="10"/>
      <x:color rgb="FF203040"/>
      <x:name val="Carlito"/>
    </x:font>
    <x:font>
      <x:sz val="9"/>
      <x:color rgb="FF2F9F95"/>
      <x:name val="Carlito"/>
    </x:font>
    <x:font>
      <x:sz val="9"/>
      <x:color rgb="FF4C84A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93B5A"/>
      </x:patternFill>
    </x:fill>
    <x:fill>
      <x:patternFill patternType="solid">
        <x:fgColor rgb="FFE8F1FB"/>
      </x:patternFill>
    </x:fill>
    <x:fill>
      <x:patternFill patternType="solid">
        <x:fgColor rgb="FF2F9F95"/>
      </x:patternFill>
    </x:fill>
    <x:fill>
      <x:patternFill patternType="solid">
        <x:fgColor rgb="FF4C84A8"/>
      </x:patternFill>
    </x:fill>
    <x:fill>
      <x:patternFill patternType="solid">
        <x:fgColor rgb="FFF0B44D"/>
      </x:patternFill>
    </x:fill>
    <x:fill>
      <x:patternFill patternType="solid">
        <x:fgColor rgb="FF4E9D6D"/>
      </x:patternFill>
    </x:fill>
    <x:fill>
      <x:patternFill patternType="solid">
        <x:fgColor rgb="FFFFFFFF"/>
      </x:patternFill>
    </x:fill>
    <x:fill>
      <x:patternFill patternType="solid">
        <x:fgColor rgb="FFF5F7F9"/>
      </x:patternFill>
    </x:fill>
    <x:fill>
      <x:patternFill patternType="solid">
        <x:fgColor rgb="FFB94A62"/>
      </x:patternFill>
    </x:fill>
  </x:fills>
  <x:borders count="15">
    <x:border/>
    <x:border>
      <x:bottom style="thin">
        <x:color rgb="FFD7DEE5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7DEE5"/>
      </x:left>
      <x:top style="thin">
        <x:color rgb="FFD7DEE5"/>
      </x:top>
    </x:border>
    <x:border>
      <x:top style="thin">
        <x:color rgb="FFD7DEE5"/>
      </x:top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</x:border>
    <x:border>
      <x:right style="thin">
        <x:color rgb="FFD7DEE5"/>
      </x:right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</x:borders>
  <x:cellStyleXfs count="1">
    <x:xf numFmtId="0" fontId="0" fillId="0" borderId="0"/>
  </x:cellStyleXfs>
  <x:cellXfs count="1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" xfId="0" applyNumberFormat="1" applyFont="1" applyFill="1" applyBorder="1"/>
    <x:xf numFmtId="0" fontId="5" fillId="0" borderId="11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200" fontId="5" fillId="0" borderId="6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200" fontId="5" fillId="0" borderId="6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200" fontId="5" fillId="0" borderId="1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horizontal="center" vertical="center" wrapText="1"/>
    </x:xf>
    <x:xf numFmtId="0" fontId="5" fillId="0" borderId="10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5" fillId="0" borderId="11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horizontal="center" vertical="center" wrapText="1"/>
    </x:xf>
    <x:xf numFmtId="0" fontId="6" fillId="0" borderId="7" xfId="0" applyNumberFormat="1" applyFont="1" applyFill="1" applyBorder="1" applyAlignment="1">
      <x:alignment horizontal="center" vertical="center" wrapText="1"/>
    </x:xf>
    <x:xf numFmtId="0" fontId="6" fillId="0" borderId="8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0" borderId="9" xfId="0" applyNumberFormat="1" applyFont="1" applyFill="1" applyBorder="1" applyAlignment="1">
      <x:alignment horizontal="center" vertical="center" wrapText="1"/>
    </x:xf>
    <x:xf numFmtId="0" fontId="6" fillId="0" borderId="10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6" fillId="0" borderId="11" xfId="0" applyNumberFormat="1" applyFont="1" applyFill="1" applyBorder="1" applyAlignment="1">
      <x:alignment horizontal="center" vertical="center" wrapText="1"/>
    </x:xf>
    <x:xf numFmtId="0" fontId="5" fillId="9" borderId="8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200" fontId="5" fillId="9" borderId="0" xfId="0" applyNumberFormat="1" applyFont="1" applyFill="1" applyBorder="1" applyAlignment="1">
      <x:alignment horizontal="center" vertical="center" wrapText="1"/>
    </x:xf>
    <x:xf numFmtId="0" fontId="5" fillId="9" borderId="9" xfId="0" applyNumberFormat="1" applyFont="1" applyFill="1" applyBorder="1" applyAlignment="1">
      <x:alignment vertical="center" wrapText="1"/>
    </x:xf>
    <x:xf numFmtId="0" fontId="5" fillId="9" borderId="10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200" fontId="5" fillId="9" borderId="1" xfId="0" applyNumberFormat="1" applyFont="1" applyFill="1" applyBorder="1" applyAlignment="1">
      <x:alignment horizontal="center" vertical="center" wrapText="1"/>
    </x:xf>
    <x:xf numFmtId="0" fontId="5" fillId="9" borderId="1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3" xfId="0" applyNumberFormat="1" applyFont="1" applyFill="1" applyBorder="1"/>
    <x:xf numFmtId="0" fontId="3" fillId="10" borderId="4" xfId="0" applyNumberFormat="1" applyFont="1" applyFill="1" applyBorder="1"/>
    <x:xf numFmtId="0" fontId="3" fillId="10" borderId="2" xfId="0" applyNumberFormat="1" applyFont="1" applyFill="1" applyBorder="1" applyAlignment="1">
      <x:alignment wrapText="1"/>
    </x:xf>
    <x:xf numFmtId="0" fontId="3" fillId="10" borderId="3" xfId="0" applyNumberFormat="1" applyFont="1" applyFill="1" applyBorder="1" applyAlignment="1">
      <x:alignment wrapText="1"/>
    </x:xf>
    <x:xf numFmtId="0" fontId="3" fillId="10" borderId="4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horizontal="center" wrapText="1"/>
    </x:xf>
    <x:xf numFmtId="0" fontId="3" fillId="10" borderId="3" xfId="0" applyNumberFormat="1" applyFont="1" applyFill="1" applyBorder="1" applyAlignment="1">
      <x:alignment horizontal="center" wrapText="1"/>
    </x:xf>
    <x:xf numFmtId="0" fontId="3" fillId="10" borderId="4" xfId="0" applyNumberFormat="1" applyFont="1" applyFill="1" applyBorder="1" applyAlignment="1">
      <x:alignment horizont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3" fillId="10" borderId="3" xfId="0" applyNumberFormat="1" applyFont="1" applyFill="1" applyBorder="1" applyAlignment="1">
      <x:alignment horizontal="center" vertical="center" wrapText="1"/>
    </x:xf>
    <x:xf numFmtId="0" fontId="3" fillId="10" borderId="4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/>
    <x:xf numFmtId="0" fontId="3" fillId="5" borderId="4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4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201" fontId="5" fillId="0" borderId="6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202" fontId="5" fillId="0" borderId="6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201" fontId="5" fillId="0" borderId="6" xfId="0" applyNumberFormat="1" applyFont="1" applyFill="1" applyBorder="1" applyAlignment="1">
      <x:alignment horizontal="center" vertical="center" wrapText="1"/>
    </x:xf>
    <x:xf numFmtId="202" fontId="5" fillId="0" borderId="6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 applyAlignment="1">
      <x:alignment horizontal="center" vertical="center" wrapText="1"/>
    </x:xf>
    <x:xf numFmtId="202" fontId="5" fillId="0" borderId="0" xfId="0" applyNumberFormat="1" applyFont="1" applyFill="1" applyBorder="1" applyAlignment="1">
      <x:alignment horizontal="center" vertical="center" wrapText="1"/>
    </x:xf>
    <x:xf numFmtId="201" fontId="5" fillId="0" borderId="1" xfId="0" applyNumberFormat="1" applyFont="1" applyFill="1" applyBorder="1" applyAlignment="1">
      <x:alignment horizontal="center" vertical="center" wrapText="1"/>
    </x:xf>
    <x:xf numFmtId="202" fontId="5" fillId="0" borderId="1" xfId="0" applyNumberFormat="1" applyFont="1" applyFill="1" applyBorder="1" applyAlignment="1">
      <x:alignment horizontal="center" vertical="center" wrapText="1"/>
    </x:xf>
    <x:xf numFmtId="0" fontId="5" fillId="9" borderId="5" xfId="0" applyNumberFormat="1" applyFont="1" applyFill="1" applyBorder="1" applyAlignment="1">
      <x:alignment vertical="center" wrapText="1"/>
    </x:xf>
    <x:xf numFmtId="0" fontId="5" fillId="9" borderId="6" xfId="0" applyNumberFormat="1" applyFont="1" applyFill="1" applyBorder="1" applyAlignment="1">
      <x:alignment horizontal="center" vertical="center" wrapText="1"/>
    </x:xf>
    <x:xf numFmtId="201" fontId="5" fillId="9" borderId="6" xfId="0" applyNumberFormat="1" applyFont="1" applyFill="1" applyBorder="1" applyAlignment="1">
      <x:alignment horizontal="center" vertical="center" wrapText="1"/>
    </x:xf>
    <x:xf numFmtId="202" fontId="5" fillId="9" borderId="6" xfId="0" applyNumberFormat="1" applyFont="1" applyFill="1" applyBorder="1" applyAlignment="1">
      <x:alignment horizontal="center" vertical="center" wrapText="1"/>
    </x:xf>
    <x:xf numFmtId="0" fontId="5" fillId="9" borderId="7" xfId="0" applyNumberFormat="1" applyFont="1" applyFill="1" applyBorder="1" applyAlignment="1">
      <x:alignment vertical="center" wrapText="1"/>
    </x:xf>
    <x:xf numFmtId="0" fontId="5" fillId="9" borderId="8" xfId="0" applyNumberFormat="1" applyFont="1" applyFill="1" applyBorder="1" applyAlignment="1">
      <x:alignment vertical="center" wrapText="1"/>
    </x:xf>
    <x:xf numFmtId="201" fontId="5" fillId="9" borderId="0" xfId="0" applyNumberFormat="1" applyFont="1" applyFill="1" applyBorder="1" applyAlignment="1">
      <x:alignment horizontal="center" vertical="center" wrapText="1"/>
    </x:xf>
    <x:xf numFmtId="202" fontId="5" fillId="9" borderId="0" xfId="0" applyNumberFormat="1" applyFont="1" applyFill="1" applyBorder="1" applyAlignment="1">
      <x:alignment horizontal="center" vertical="center" wrapText="1"/>
    </x:xf>
    <x:xf numFmtId="0" fontId="5" fillId="9" borderId="10" xfId="0" applyNumberFormat="1" applyFont="1" applyFill="1" applyBorder="1" applyAlignment="1">
      <x:alignment vertical="center" wrapText="1"/>
    </x:xf>
    <x:xf numFmtId="201" fontId="5" fillId="9" borderId="1" xfId="0" applyNumberFormat="1" applyFont="1" applyFill="1" applyBorder="1" applyAlignment="1">
      <x:alignment horizontal="center" vertical="center" wrapText="1"/>
    </x:xf>
    <x:xf numFmtId="202" fontId="5" fillId="9" borderId="1" xfId="0" applyNumberFormat="1" applyFont="1" applyFill="1" applyBorder="1" applyAlignment="1">
      <x:alignment horizontal="center" vertical="center" wrapText="1"/>
    </x:xf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vertical="center" wrapText="1"/>
    </x:xf>
    <x:xf numFmtId="0" fontId="5" fillId="9" borderId="12" xfId="0" applyNumberFormat="1" applyFont="1" applyFill="1" applyBorder="1" applyAlignment="1">
      <x:alignment vertical="center" wrapText="1"/>
    </x:xf>
    <x:xf numFmtId="0" fontId="5" fillId="9" borderId="13" xfId="0" applyNumberFormat="1" applyFont="1" applyFill="1" applyBorder="1" applyAlignment="1">
      <x:alignment vertical="center" wrapText="1"/>
    </x:xf>
    <x:xf numFmtId="0" fontId="5" fillId="9" borderId="14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color rgb="FF2F9F95"/>
      </x:font>
      <x:fill>
        <x:patternFill patternType="solid">
          <x:bgColor rgb="FF2F9F95"/>
        </x:patternFill>
      </x:fill>
    </x:dxf>
    <x:dxf>
      <x:font>
        <x:b/>
        <x:color rgb="FF4E9D6D"/>
      </x:font>
      <x:fill>
        <x:patternFill patternType="solid">
          <x:bgColor rgb="FFE4F3E9"/>
        </x:patternFill>
      </x:fill>
    </x:dxf>
    <x:dxf>
      <x:font>
        <x:b/>
        <x:color rgb="FFB94A62"/>
      </x:font>
      <x:fill>
        <x:patternFill patternType="solid">
          <x:bgColor rgb="FFFBE7EB"/>
        </x:patternFill>
      </x:fill>
    </x:dxf>
    <x:dxf>
      <x:font>
        <x:b/>
        <x:color rgb="FF8B6200"/>
      </x:font>
      <x:fill>
        <x:patternFill patternType="solid">
          <x:bgColor rgb="FFFFF2CF"/>
        </x:patternFill>
      </x:fill>
    </x:dxf>
    <x:dxf>
      <x:font>
        <x:b/>
        <x:color rgb="FFFFFFFF"/>
      </x:font>
      <x:fill>
        <x:patternFill patternType="solid">
          <x:bgColor rgb="FFB94A62"/>
        </x:patternFill>
      </x:fill>
    </x:dxf>
    <x:dxf>
      <x:font>
        <x:b/>
        <x:color rgb="FF193B5A"/>
      </x:font>
      <x:fill>
        <x:patternFill patternType="solid">
          <x:bgColor rgb="FFF0B44D"/>
        </x:patternFill>
      </x:fill>
    </x:dxf>
    <x:dxf>
      <x:font>
        <x:b/>
        <x:color rgb="FF7A5700"/>
      </x:font>
      <x:fill>
        <x:patternFill patternType="solid">
          <x:bgColor rgb="FFFFF2CF"/>
        </x:patternFill>
      </x:fill>
    </x:dxf>
    <x:dxf>
      <x:font>
        <x:b/>
        <x:color rgb="FF4E9D6D"/>
      </x:font>
      <x:fill>
        <x:patternFill patternType="solid">
          <x:bgColor rgb="FFE4F3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7df96ce4314419" /><Relationship Type="http://schemas.openxmlformats.org/officeDocument/2006/relationships/theme" Target="/xl/theme/theme1.xml" Id="R9a660b7cc5e44ff2" /><Relationship Type="http://schemas.openxmlformats.org/officeDocument/2006/relationships/sharedStrings" Target="/xl/sharedStrings.xml" Id="R7427c240524b4e3a" /><Relationship Type="http://schemas.openxmlformats.org/officeDocument/2006/relationships/worksheet" Target="/xl/worksheets/sheet1.xml" Id="R4a5f6c080b1940e3" /><Relationship Type="http://schemas.openxmlformats.org/officeDocument/2006/relationships/worksheet" Target="/xl/worksheets/sheet2.xml" Id="R4253e79e0ec545a5" /><Relationship Type="http://schemas.openxmlformats.org/officeDocument/2006/relationships/worksheet" Target="/xl/worksheets/sheet3.xml" Id="R232aecca01d24646" /><Relationship Type="http://schemas.openxmlformats.org/officeDocument/2006/relationships/worksheet" Target="/xl/worksheets/sheet4.xml" Id="R76322f29c78e42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42" hidden="0" customWidth="1"/>
    <x:col min="4" max="4" width="18" hidden="0" customWidth="1"/>
    <x:col min="5" max="5" width="8" hidden="0" customWidth="1"/>
    <x:col min="6" max="6" width="8" hidden="0" customWidth="1"/>
    <x:col min="7" max="7" width="10" hidden="0" customWidth="1"/>
    <x:col min="8" max="8" width="14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</x:cols>
  <x:sheetData>
    <x:row r="1" ht="34" customHeight="1">
      <x:c r="A1" s="4" t="str">
        <x:v>RedSolidaria — Cronograma maestro</x:v>
      </x:c>
      <x:c r="B1" s="4" t="str">
        <x:v>RedSolidaria — Cronograma maestro</x:v>
      </x:c>
      <x:c r="C1" s="4" t="str">
        <x:v>RedSolidaria — Cronograma maestro</x:v>
      </x:c>
      <x:c r="D1" s="4" t="str">
        <x:v>RedSolidaria — Cronograma maestro</x:v>
      </x:c>
      <x:c r="E1" s="4" t="str">
        <x:v>RedSolidaria — Cronograma maestro</x:v>
      </x:c>
      <x:c r="F1" s="4" t="str">
        <x:v>RedSolidaria — Cronograma maestro</x:v>
      </x:c>
      <x:c r="G1" s="4" t="str">
        <x:v>RedSolidaria — Cronograma maestro</x:v>
      </x:c>
      <x:c r="H1" s="4" t="str">
        <x:v>RedSolidaria — Cronograma maestro</x:v>
      </x:c>
      <x:c r="I1" s="4" t="str">
        <x:v>RedSolidaria — Cronograma maestro</x:v>
      </x:c>
      <x:c r="J1" s="4" t="str">
        <x:v>RedSolidaria — Cronograma maestro</x:v>
      </x:c>
      <x:c r="K1" s="4" t="str">
        <x:v>RedSolidaria — Cronograma maestro</x:v>
      </x:c>
      <x:c r="L1" s="4" t="str">
        <x:v>RedSolidaria — Cronograma maestro</x:v>
      </x:c>
      <x:c r="M1" s="4" t="str">
        <x:v>RedSolidaria — Cronograma maestro</x:v>
      </x:c>
      <x:c r="N1" s="4" t="str">
        <x:v>RedSolidaria — Cronograma maestro</x:v>
      </x:c>
      <x:c r="O1" s="4" t="str">
        <x:v>RedSolidaria — Cronograma maestro</x:v>
      </x:c>
      <x:c r="P1" s="4" t="str">
        <x:v>RedSolidaria — Cronograma maestro</x:v>
      </x:c>
      <x:c r="Q1" s="4" t="str">
        <x:v>RedSolidaria — Cronograma maestro</x:v>
      </x:c>
      <x:c r="R1" s="4" t="str">
        <x:v>RedSolidaria — Cronograma maestro</x:v>
      </x:c>
      <x:c r="S1" s="4" t="str">
        <x:v>RedSolidaria — Cronograma maestro</x:v>
      </x:c>
      <x:c r="T1" s="4" t="str">
        <x:v>RedSolidaria — Cronograma maestro</x:v>
      </x:c>
    </x:row>
    <x:row r="2" ht="30" customHeight="1">
      <x:c r="A2" s="8" t="str">
        <x:v>MVP de 12 semanas · seis sprints de dos semanas · las barras se generan con fórmulas.</x:v>
      </x:c>
      <x:c r="B2" s="8" t="str">
        <x:v>MVP de 12 semanas · seis sprints de dos semanas · las barras se generan con fórmulas.</x:v>
      </x:c>
      <x:c r="C2" s="8" t="str">
        <x:v>MVP de 12 semanas · seis sprints de dos semanas · las barras se generan con fórmulas.</x:v>
      </x:c>
      <x:c r="D2" s="8" t="str">
        <x:v>MVP de 12 semanas · seis sprints de dos semanas · las barras se generan con fórmulas.</x:v>
      </x:c>
      <x:c r="E2" s="8" t="str">
        <x:v>MVP de 12 semanas · seis sprints de dos semanas · las barras se generan con fórmulas.</x:v>
      </x:c>
      <x:c r="F2" s="8" t="str">
        <x:v>MVP de 12 semanas · seis sprints de dos semanas · las barras se generan con fórmulas.</x:v>
      </x:c>
      <x:c r="G2" s="8" t="str">
        <x:v>MVP de 12 semanas · seis sprints de dos semanas · las barras se generan con fórmulas.</x:v>
      </x:c>
      <x:c r="H2" s="8" t="str">
        <x:v>MVP de 12 semanas · seis sprints de dos semanas · las barras se generan con fórmulas.</x:v>
      </x:c>
      <x:c r="I2" s="8" t="str">
        <x:v>MVP de 12 semanas · seis sprints de dos semanas · las barras se generan con fórmulas.</x:v>
      </x:c>
      <x:c r="J2" s="8" t="str">
        <x:v>MVP de 12 semanas · seis sprints de dos semanas · las barras se generan con fórmulas.</x:v>
      </x:c>
      <x:c r="K2" s="8" t="str">
        <x:v>MVP de 12 semanas · seis sprints de dos semanas · las barras se generan con fórmulas.</x:v>
      </x:c>
      <x:c r="L2" s="8" t="str">
        <x:v>MVP de 12 semanas · seis sprints de dos semanas · las barras se generan con fórmulas.</x:v>
      </x:c>
      <x:c r="M2" s="8" t="str">
        <x:v>MVP de 12 semanas · seis sprints de dos semanas · las barras se generan con fórmulas.</x:v>
      </x:c>
      <x:c r="N2" s="8" t="str">
        <x:v>MVP de 12 semanas · seis sprints de dos semanas · las barras se generan con fórmulas.</x:v>
      </x:c>
      <x:c r="O2" s="8" t="str">
        <x:v>MVP de 12 semanas · seis sprints de dos semanas · las barras se generan con fórmulas.</x:v>
      </x:c>
      <x:c r="P2" s="8" t="str">
        <x:v>MVP de 12 semanas · seis sprints de dos semanas · las barras se generan con fórmulas.</x:v>
      </x:c>
      <x:c r="Q2" s="8" t="str">
        <x:v>MVP de 12 semanas · seis sprints de dos semanas · las barras se generan con fórmulas.</x:v>
      </x:c>
      <x:c r="R2" s="8" t="str">
        <x:v>MVP de 12 semanas · seis sprints de dos semanas · las barras se generan con fórmulas.</x:v>
      </x:c>
      <x:c r="S2" s="8" t="str">
        <x:v>MVP de 12 semanas · seis sprints de dos semanas · las barras se generan con fórmulas.</x:v>
      </x:c>
      <x:c r="T2" s="8" t="str">
        <x:v>MVP de 12 semanas · seis sprints de dos semanas · las barras se generan con fórmulas.</x:v>
      </x:c>
    </x:row>
    <x:row r="4">
      <x:c r="A4" s="12" t="str">
        <x:v>Duración</x:v>
      </x:c>
      <x:c r="B4" s="12" t="str">
        <x:v>Duración</x:v>
      </x:c>
      <x:c r="C4" s="16" t="str">
        <x:v>Sprints</x:v>
      </x:c>
      <x:c r="D4" s="16" t="str">
        <x:v>Sprints</x:v>
      </x:c>
      <x:c r="E4" s="20" t="str">
        <x:v>Actividades</x:v>
      </x:c>
      <x:c r="F4" s="20" t="str">
        <x:v>Actividades</x:v>
      </x:c>
      <x:c r="G4" s="24" t="str">
        <x:v>Completadas</x:v>
      </x:c>
      <x:c r="H4" s="24" t="str">
        <x:v>Completadas</x:v>
      </x:c>
    </x:row>
    <x:row r="5" ht="28" customHeight="1">
      <x:c r="A5" s="29" t="str">
        <x:v>12 semanas</x:v>
      </x:c>
      <x:c r="B5" s="29" t="str">
        <x:v>12 semanas</x:v>
      </x:c>
      <x:c r="C5" s="29" t="n">
        <x:v>6</x:v>
      </x:c>
      <x:c r="D5" s="29" t="n">
        <x:v>6</x:v>
      </x:c>
      <x:c r="E5" s="29" t="n">
        <x:f>COUNTA(A8:A25)</x:f>
        <x:v>18</x:v>
      </x:c>
      <x:c r="F5" s="29"/>
      <x:c r="G5" s="29" t="n">
        <x:f>COUNTIF(H8:H25,"Completado")</x:f>
        <x:v>0</x:v>
      </x:c>
      <x:c r="H5" s="29"/>
    </x:row>
    <x:row r="7" ht="32" customHeight="1">
      <x:c r="A7" s="40" t="str">
        <x:v>ID</x:v>
      </x:c>
      <x:c r="B7" s="41" t="str">
        <x:v>Sprint</x:v>
      </x:c>
      <x:c r="C7" s="41" t="str">
        <x:v>Actividad / entregable</x:v>
      </x:c>
      <x:c r="D7" s="41" t="str">
        <x:v>Responsable</x:v>
      </x:c>
      <x:c r="E7" s="41" t="str">
        <x:v>Inicio</x:v>
      </x:c>
      <x:c r="F7" s="41" t="str">
        <x:v>Fin</x:v>
      </x:c>
      <x:c r="G7" s="41" t="str">
        <x:v>Duración</x:v>
      </x:c>
      <x:c r="H7" s="42" t="str">
        <x:v>Estado</x:v>
      </x:c>
      <x:c r="I7" s="52" t="str">
        <x:v>S1</x:v>
      </x:c>
      <x:c r="J7" s="53" t="str">
        <x:v>S2</x:v>
      </x:c>
      <x:c r="K7" s="53" t="str">
        <x:v>S3</x:v>
      </x:c>
      <x:c r="L7" s="53" t="str">
        <x:v>S4</x:v>
      </x:c>
      <x:c r="M7" s="53" t="str">
        <x:v>S5</x:v>
      </x:c>
      <x:c r="N7" s="53" t="str">
        <x:v>S6</x:v>
      </x:c>
      <x:c r="O7" s="53" t="str">
        <x:v>S7</x:v>
      </x:c>
      <x:c r="P7" s="53" t="str">
        <x:v>S8</x:v>
      </x:c>
      <x:c r="Q7" s="53" t="str">
        <x:v>S9</x:v>
      </x:c>
      <x:c r="R7" s="53" t="str">
        <x:v>S10</x:v>
      </x:c>
      <x:c r="S7" s="53" t="str">
        <x:v>S11</x:v>
      </x:c>
      <x:c r="T7" s="54" t="str">
        <x:v>S12</x:v>
      </x:c>
    </x:row>
    <x:row r="8" ht="34" customHeight="1">
      <x:c r="A8" s="91" t="str">
        <x:v>T01</x:v>
      </x:c>
      <x:c r="B8" s="85" t="str">
        <x:v>Sprint 1</x:v>
      </x:c>
      <x:c r="C8" s="74" t="str">
        <x:v>Acta de constitución, alcance y matriz de stakeholders</x:v>
      </x:c>
      <x:c r="D8" s="74" t="str">
        <x:v>PO / Líder</x:v>
      </x:c>
      <x:c r="E8" s="85" t="n">
        <x:v>1</x:v>
      </x:c>
      <x:c r="F8" s="85" t="n">
        <x:v>1</x:v>
      </x:c>
      <x:c r="G8" s="86" t="n">
        <x:f>F8-E8+1</x:f>
        <x:v>1</x:v>
      </x:c>
      <x:c r="H8" s="75" t="str">
        <x:v>No iniciado</x:v>
      </x:c>
      <x:c r="I8" s="97" t="n">
        <x:f>IF(AND(1&gt;=$E8,1&lt;=$F8),1,"")</x:f>
        <x:v>1</x:v>
      </x:c>
      <x:c r="J8" s="98" t="str">
        <x:f>IF(AND(2&gt;=$E8,2&lt;=$F8),1,"")</x:f>
      </x:c>
      <x:c r="K8" s="98" t="str">
        <x:f>IF(AND(3&gt;=$E8,3&lt;=$F8),1,"")</x:f>
      </x:c>
      <x:c r="L8" s="98" t="str">
        <x:f>IF(AND(4&gt;=$E8,4&lt;=$F8),1,"")</x:f>
      </x:c>
      <x:c r="M8" s="98" t="str">
        <x:f>IF(AND(5&gt;=$E8,5&lt;=$F8),1,"")</x:f>
      </x:c>
      <x:c r="N8" s="98" t="str">
        <x:f>IF(AND(6&gt;=$E8,6&lt;=$F8),1,"")</x:f>
      </x:c>
      <x:c r="O8" s="98" t="str">
        <x:f>IF(AND(7&gt;=$E8,7&lt;=$F8),1,"")</x:f>
      </x:c>
      <x:c r="P8" s="98" t="str">
        <x:f>IF(AND(8&gt;=$E8,8&lt;=$F8),1,"")</x:f>
      </x:c>
      <x:c r="Q8" s="98" t="str">
        <x:f>IF(AND(9&gt;=$E8,9&lt;=$F8),1,"")</x:f>
      </x:c>
      <x:c r="R8" s="98" t="str">
        <x:f>IF(AND(10&gt;=$E8,10&lt;=$F8),1,"")</x:f>
      </x:c>
      <x:c r="S8" s="98" t="str">
        <x:f>IF(AND(11&gt;=$E8,11&lt;=$F8),1,"")</x:f>
      </x:c>
      <x:c r="T8" s="99" t="str">
        <x:f>IF(AND(12&gt;=$E8,12&lt;=$F8),1,"")</x:f>
      </x:c>
    </x:row>
    <x:row r="9" ht="34" customHeight="1">
      <x:c r="A9" s="106" t="str">
        <x:v>T02</x:v>
      </x:c>
      <x:c r="B9" s="107" t="str">
        <x:v>Sprint 1</x:v>
      </x:c>
      <x:c r="C9" s="108" t="str">
        <x:v>Entrevistas simuladas, hallazgos y backlog priorizado</x:v>
      </x:c>
      <x:c r="D9" s="108" t="str">
        <x:v>UX / PO</x:v>
      </x:c>
      <x:c r="E9" s="107" t="n">
        <x:v>1</x:v>
      </x:c>
      <x:c r="F9" s="107" t="n">
        <x:v>1</x:v>
      </x:c>
      <x:c r="G9" s="109" t="n">
        <x:f>F9-E9+1</x:f>
        <x:v>1</x:v>
      </x:c>
      <x:c r="H9" s="110" t="str">
        <x:v>No iniciado</x:v>
      </x:c>
      <x:c r="I9" s="100" t="n">
        <x:f>IF(AND(1&gt;=$E9,1&lt;=$F9),1,"")</x:f>
        <x:v>1</x:v>
      </x:c>
      <x:c r="J9" s="101" t="str">
        <x:f>IF(AND(2&gt;=$E9,2&lt;=$F9),1,"")</x:f>
      </x:c>
      <x:c r="K9" s="101" t="str">
        <x:f>IF(AND(3&gt;=$E9,3&lt;=$F9),1,"")</x:f>
      </x:c>
      <x:c r="L9" s="101" t="str">
        <x:f>IF(AND(4&gt;=$E9,4&lt;=$F9),1,"")</x:f>
      </x:c>
      <x:c r="M9" s="101" t="str">
        <x:f>IF(AND(5&gt;=$E9,5&lt;=$F9),1,"")</x:f>
      </x:c>
      <x:c r="N9" s="101" t="str">
        <x:f>IF(AND(6&gt;=$E9,6&lt;=$F9),1,"")</x:f>
      </x:c>
      <x:c r="O9" s="101" t="str">
        <x:f>IF(AND(7&gt;=$E9,7&lt;=$F9),1,"")</x:f>
      </x:c>
      <x:c r="P9" s="101" t="str">
        <x:f>IF(AND(8&gt;=$E9,8&lt;=$F9),1,"")</x:f>
      </x:c>
      <x:c r="Q9" s="101" t="str">
        <x:f>IF(AND(9&gt;=$E9,9&lt;=$F9),1,"")</x:f>
      </x:c>
      <x:c r="R9" s="101" t="str">
        <x:f>IF(AND(10&gt;=$E9,10&lt;=$F9),1,"")</x:f>
      </x:c>
      <x:c r="S9" s="101" t="str">
        <x:f>IF(AND(11&gt;=$E9,11&lt;=$F9),1,"")</x:f>
      </x:c>
      <x:c r="T9" s="102" t="str">
        <x:f>IF(AND(12&gt;=$E9,12&lt;=$F9),1,"")</x:f>
      </x:c>
    </x:row>
    <x:row r="10" ht="34" customHeight="1">
      <x:c r="A10" s="92" t="str">
        <x:v>T03</x:v>
      </x:c>
      <x:c r="B10" s="87" t="str">
        <x:v>Sprint 1</x:v>
      </x:c>
      <x:c r="C10" s="77" t="str">
        <x:v>Wireframes, arquitectura y base técnica con CI</x:v>
      </x:c>
      <x:c r="D10" s="77" t="str">
        <x:v>Equipo</x:v>
      </x:c>
      <x:c r="E10" s="87" t="n">
        <x:v>1</x:v>
      </x:c>
      <x:c r="F10" s="87" t="n">
        <x:v>2</x:v>
      </x:c>
      <x:c r="G10" s="88" t="n">
        <x:f>F10-E10+1</x:f>
        <x:v>2</x:v>
      </x:c>
      <x:c r="H10" s="78" t="str">
        <x:v>No iniciado</x:v>
      </x:c>
      <x:c r="I10" s="100" t="n">
        <x:f>IF(AND(1&gt;=$E10,1&lt;=$F10),1,"")</x:f>
        <x:v>1</x:v>
      </x:c>
      <x:c r="J10" s="101" t="n">
        <x:f>IF(AND(2&gt;=$E10,2&lt;=$F10),1,"")</x:f>
        <x:v>1</x:v>
      </x:c>
      <x:c r="K10" s="101" t="str">
        <x:f>IF(AND(3&gt;=$E10,3&lt;=$F10),1,"")</x:f>
      </x:c>
      <x:c r="L10" s="101" t="str">
        <x:f>IF(AND(4&gt;=$E10,4&lt;=$F10),1,"")</x:f>
      </x:c>
      <x:c r="M10" s="101" t="str">
        <x:f>IF(AND(5&gt;=$E10,5&lt;=$F10),1,"")</x:f>
      </x:c>
      <x:c r="N10" s="101" t="str">
        <x:f>IF(AND(6&gt;=$E10,6&lt;=$F10),1,"")</x:f>
      </x:c>
      <x:c r="O10" s="101" t="str">
        <x:f>IF(AND(7&gt;=$E10,7&lt;=$F10),1,"")</x:f>
      </x:c>
      <x:c r="P10" s="101" t="str">
        <x:f>IF(AND(8&gt;=$E10,8&lt;=$F10),1,"")</x:f>
      </x:c>
      <x:c r="Q10" s="101" t="str">
        <x:f>IF(AND(9&gt;=$E10,9&lt;=$F10),1,"")</x:f>
      </x:c>
      <x:c r="R10" s="101" t="str">
        <x:f>IF(AND(10&gt;=$E10,10&lt;=$F10),1,"")</x:f>
      </x:c>
      <x:c r="S10" s="101" t="str">
        <x:f>IF(AND(11&gt;=$E10,11&lt;=$F10),1,"")</x:f>
      </x:c>
      <x:c r="T10" s="102" t="str">
        <x:f>IF(AND(12&gt;=$E10,12&lt;=$F10),1,"")</x:f>
      </x:c>
    </x:row>
    <x:row r="11" ht="34" customHeight="1">
      <x:c r="A11" s="106" t="str">
        <x:v>T04</x:v>
      </x:c>
      <x:c r="B11" s="107" t="str">
        <x:v>Sprint 2</x:v>
      </x:c>
      <x:c r="C11" s="108" t="str">
        <x:v>Registro, autenticación y recuperación de acceso</x:v>
      </x:c>
      <x:c r="D11" s="108" t="str">
        <x:v>Frontend / Backend</x:v>
      </x:c>
      <x:c r="E11" s="107" t="n">
        <x:v>3</x:v>
      </x:c>
      <x:c r="F11" s="107" t="n">
        <x:v>3</x:v>
      </x:c>
      <x:c r="G11" s="109" t="n">
        <x:f>F11-E11+1</x:f>
        <x:v>1</x:v>
      </x:c>
      <x:c r="H11" s="110" t="str">
        <x:v>No iniciado</x:v>
      </x:c>
      <x:c r="I11" s="100" t="str">
        <x:f>IF(AND(1&gt;=$E11,1&lt;=$F11),1,"")</x:f>
      </x:c>
      <x:c r="J11" s="101" t="str">
        <x:f>IF(AND(2&gt;=$E11,2&lt;=$F11),1,"")</x:f>
      </x:c>
      <x:c r="K11" s="101" t="n">
        <x:f>IF(AND(3&gt;=$E11,3&lt;=$F11),1,"")</x:f>
        <x:v>1</x:v>
      </x:c>
      <x:c r="L11" s="101" t="str">
        <x:f>IF(AND(4&gt;=$E11,4&lt;=$F11),1,"")</x:f>
      </x:c>
      <x:c r="M11" s="101" t="str">
        <x:f>IF(AND(5&gt;=$E11,5&lt;=$F11),1,"")</x:f>
      </x:c>
      <x:c r="N11" s="101" t="str">
        <x:f>IF(AND(6&gt;=$E11,6&lt;=$F11),1,"")</x:f>
      </x:c>
      <x:c r="O11" s="101" t="str">
        <x:f>IF(AND(7&gt;=$E11,7&lt;=$F11),1,"")</x:f>
      </x:c>
      <x:c r="P11" s="101" t="str">
        <x:f>IF(AND(8&gt;=$E11,8&lt;=$F11),1,"")</x:f>
      </x:c>
      <x:c r="Q11" s="101" t="str">
        <x:f>IF(AND(9&gt;=$E11,9&lt;=$F11),1,"")</x:f>
      </x:c>
      <x:c r="R11" s="101" t="str">
        <x:f>IF(AND(10&gt;=$E11,10&lt;=$F11),1,"")</x:f>
      </x:c>
      <x:c r="S11" s="101" t="str">
        <x:f>IF(AND(11&gt;=$E11,11&lt;=$F11),1,"")</x:f>
      </x:c>
      <x:c r="T11" s="102" t="str">
        <x:f>IF(AND(12&gt;=$E11,12&lt;=$F11),1,"")</x:f>
      </x:c>
    </x:row>
    <x:row r="12" ht="34" customHeight="1">
      <x:c r="A12" s="92" t="str">
        <x:v>T05</x:v>
      </x:c>
      <x:c r="B12" s="87" t="str">
        <x:v>Sprint 2</x:v>
      </x:c>
      <x:c r="C12" s="77" t="str">
        <x:v>Perfiles, roles, permisos y verificación de organizaciones</x:v>
      </x:c>
      <x:c r="D12" s="77" t="str">
        <x:v>Backend</x:v>
      </x:c>
      <x:c r="E12" s="87" t="n">
        <x:v>3</x:v>
      </x:c>
      <x:c r="F12" s="87" t="n">
        <x:v>4</x:v>
      </x:c>
      <x:c r="G12" s="88" t="n">
        <x:f>F12-E12+1</x:f>
        <x:v>2</x:v>
      </x:c>
      <x:c r="H12" s="78" t="str">
        <x:v>No iniciado</x:v>
      </x:c>
      <x:c r="I12" s="100" t="str">
        <x:f>IF(AND(1&gt;=$E12,1&lt;=$F12),1,"")</x:f>
      </x:c>
      <x:c r="J12" s="101" t="str">
        <x:f>IF(AND(2&gt;=$E12,2&lt;=$F12),1,"")</x:f>
      </x:c>
      <x:c r="K12" s="101" t="n">
        <x:f>IF(AND(3&gt;=$E12,3&lt;=$F12),1,"")</x:f>
        <x:v>1</x:v>
      </x:c>
      <x:c r="L12" s="101" t="n">
        <x:f>IF(AND(4&gt;=$E12,4&lt;=$F12),1,"")</x:f>
        <x:v>1</x:v>
      </x:c>
      <x:c r="M12" s="101" t="str">
        <x:f>IF(AND(5&gt;=$E12,5&lt;=$F12),1,"")</x:f>
      </x:c>
      <x:c r="N12" s="101" t="str">
        <x:f>IF(AND(6&gt;=$E12,6&lt;=$F12),1,"")</x:f>
      </x:c>
      <x:c r="O12" s="101" t="str">
        <x:f>IF(AND(7&gt;=$E12,7&lt;=$F12),1,"")</x:f>
      </x:c>
      <x:c r="P12" s="101" t="str">
        <x:f>IF(AND(8&gt;=$E12,8&lt;=$F12),1,"")</x:f>
      </x:c>
      <x:c r="Q12" s="101" t="str">
        <x:f>IF(AND(9&gt;=$E12,9&lt;=$F12),1,"")</x:f>
      </x:c>
      <x:c r="R12" s="101" t="str">
        <x:f>IF(AND(10&gt;=$E12,10&lt;=$F12),1,"")</x:f>
      </x:c>
      <x:c r="S12" s="101" t="str">
        <x:f>IF(AND(11&gt;=$E12,11&lt;=$F12),1,"")</x:f>
      </x:c>
      <x:c r="T12" s="102" t="str">
        <x:f>IF(AND(12&gt;=$E12,12&lt;=$F12),1,"")</x:f>
      </x:c>
    </x:row>
    <x:row r="13" ht="34" customHeight="1">
      <x:c r="A13" s="106" t="str">
        <x:v>T06</x:v>
      </x:c>
      <x:c r="B13" s="107" t="str">
        <x:v>Sprint 2</x:v>
      </x:c>
      <x:c r="C13" s="108" t="str">
        <x:v>Panel administrativo básico y pruebas de autorización</x:v>
      </x:c>
      <x:c r="D13" s="108" t="str">
        <x:v>Frontend / QA</x:v>
      </x:c>
      <x:c r="E13" s="107" t="n">
        <x:v>4</x:v>
      </x:c>
      <x:c r="F13" s="107" t="n">
        <x:v>4</x:v>
      </x:c>
      <x:c r="G13" s="109" t="n">
        <x:f>F13-E13+1</x:f>
        <x:v>1</x:v>
      </x:c>
      <x:c r="H13" s="110" t="str">
        <x:v>No iniciado</x:v>
      </x:c>
      <x:c r="I13" s="100" t="str">
        <x:f>IF(AND(1&gt;=$E13,1&lt;=$F13),1,"")</x:f>
      </x:c>
      <x:c r="J13" s="101" t="str">
        <x:f>IF(AND(2&gt;=$E13,2&lt;=$F13),1,"")</x:f>
      </x:c>
      <x:c r="K13" s="101" t="str">
        <x:f>IF(AND(3&gt;=$E13,3&lt;=$F13),1,"")</x:f>
      </x:c>
      <x:c r="L13" s="101" t="n">
        <x:f>IF(AND(4&gt;=$E13,4&lt;=$F13),1,"")</x:f>
        <x:v>1</x:v>
      </x:c>
      <x:c r="M13" s="101" t="str">
        <x:f>IF(AND(5&gt;=$E13,5&lt;=$F13),1,"")</x:f>
      </x:c>
      <x:c r="N13" s="101" t="str">
        <x:f>IF(AND(6&gt;=$E13,6&lt;=$F13),1,"")</x:f>
      </x:c>
      <x:c r="O13" s="101" t="str">
        <x:f>IF(AND(7&gt;=$E13,7&lt;=$F13),1,"")</x:f>
      </x:c>
      <x:c r="P13" s="101" t="str">
        <x:f>IF(AND(8&gt;=$E13,8&lt;=$F13),1,"")</x:f>
      </x:c>
      <x:c r="Q13" s="101" t="str">
        <x:f>IF(AND(9&gt;=$E13,9&lt;=$F13),1,"")</x:f>
      </x:c>
      <x:c r="R13" s="101" t="str">
        <x:f>IF(AND(10&gt;=$E13,10&lt;=$F13),1,"")</x:f>
      </x:c>
      <x:c r="S13" s="101" t="str">
        <x:f>IF(AND(11&gt;=$E13,11&lt;=$F13),1,"")</x:f>
      </x:c>
      <x:c r="T13" s="102" t="str">
        <x:f>IF(AND(12&gt;=$E13,12&lt;=$F13),1,"")</x:f>
      </x:c>
    </x:row>
    <x:row r="14" ht="34" customHeight="1">
      <x:c r="A14" s="92" t="str">
        <x:v>T07</x:v>
      </x:c>
      <x:c r="B14" s="87" t="str">
        <x:v>Sprint 3</x:v>
      </x:c>
      <x:c r="C14" s="77" t="str">
        <x:v>Alta y edición de donaciones con validaciones</x:v>
      </x:c>
      <x:c r="D14" s="77" t="str">
        <x:v>Frontend / Backend</x:v>
      </x:c>
      <x:c r="E14" s="87" t="n">
        <x:v>5</x:v>
      </x:c>
      <x:c r="F14" s="87" t="n">
        <x:v>5</x:v>
      </x:c>
      <x:c r="G14" s="88" t="n">
        <x:f>F14-E14+1</x:f>
        <x:v>1</x:v>
      </x:c>
      <x:c r="H14" s="78" t="str">
        <x:v>No iniciado</x:v>
      </x:c>
      <x:c r="I14" s="100" t="str">
        <x:f>IF(AND(1&gt;=$E14,1&lt;=$F14),1,"")</x:f>
      </x:c>
      <x:c r="J14" s="101" t="str">
        <x:f>IF(AND(2&gt;=$E14,2&lt;=$F14),1,"")</x:f>
      </x:c>
      <x:c r="K14" s="101" t="str">
        <x:f>IF(AND(3&gt;=$E14,3&lt;=$F14),1,"")</x:f>
      </x:c>
      <x:c r="L14" s="101" t="str">
        <x:f>IF(AND(4&gt;=$E14,4&lt;=$F14),1,"")</x:f>
      </x:c>
      <x:c r="M14" s="101" t="n">
        <x:f>IF(AND(5&gt;=$E14,5&lt;=$F14),1,"")</x:f>
        <x:v>1</x:v>
      </x:c>
      <x:c r="N14" s="101" t="str">
        <x:f>IF(AND(6&gt;=$E14,6&lt;=$F14),1,"")</x:f>
      </x:c>
      <x:c r="O14" s="101" t="str">
        <x:f>IF(AND(7&gt;=$E14,7&lt;=$F14),1,"")</x:f>
      </x:c>
      <x:c r="P14" s="101" t="str">
        <x:f>IF(AND(8&gt;=$E14,8&lt;=$F14),1,"")</x:f>
      </x:c>
      <x:c r="Q14" s="101" t="str">
        <x:f>IF(AND(9&gt;=$E14,9&lt;=$F14),1,"")</x:f>
      </x:c>
      <x:c r="R14" s="101" t="str">
        <x:f>IF(AND(10&gt;=$E14,10&lt;=$F14),1,"")</x:f>
      </x:c>
      <x:c r="S14" s="101" t="str">
        <x:f>IF(AND(11&gt;=$E14,11&lt;=$F14),1,"")</x:f>
      </x:c>
      <x:c r="T14" s="102" t="str">
        <x:f>IF(AND(12&gt;=$E14,12&lt;=$F14),1,"")</x:f>
      </x:c>
    </x:row>
    <x:row r="15" ht="34" customHeight="1">
      <x:c r="A15" s="106" t="str">
        <x:v>T08</x:v>
      </x:c>
      <x:c r="B15" s="107" t="str">
        <x:v>Sprint 3</x:v>
      </x:c>
      <x:c r="C15" s="108" t="str">
        <x:v>Inventario, estados, lotes, caducidad y archivos</x:v>
      </x:c>
      <x:c r="D15" s="108" t="str">
        <x:v>Backend</x:v>
      </x:c>
      <x:c r="E15" s="107" t="n">
        <x:v>5</x:v>
      </x:c>
      <x:c r="F15" s="107" t="n">
        <x:v>6</x:v>
      </x:c>
      <x:c r="G15" s="109" t="n">
        <x:f>F15-E15+1</x:f>
        <x:v>2</x:v>
      </x:c>
      <x:c r="H15" s="110" t="str">
        <x:v>No iniciado</x:v>
      </x:c>
      <x:c r="I15" s="100" t="str">
        <x:f>IF(AND(1&gt;=$E15,1&lt;=$F15),1,"")</x:f>
      </x:c>
      <x:c r="J15" s="101" t="str">
        <x:f>IF(AND(2&gt;=$E15,2&lt;=$F15),1,"")</x:f>
      </x:c>
      <x:c r="K15" s="101" t="str">
        <x:f>IF(AND(3&gt;=$E15,3&lt;=$F15),1,"")</x:f>
      </x:c>
      <x:c r="L15" s="101" t="str">
        <x:f>IF(AND(4&gt;=$E15,4&lt;=$F15),1,"")</x:f>
      </x:c>
      <x:c r="M15" s="101" t="n">
        <x:f>IF(AND(5&gt;=$E15,5&lt;=$F15),1,"")</x:f>
        <x:v>1</x:v>
      </x:c>
      <x:c r="N15" s="101" t="n">
        <x:f>IF(AND(6&gt;=$E15,6&lt;=$F15),1,"")</x:f>
        <x:v>1</x:v>
      </x:c>
      <x:c r="O15" s="101" t="str">
        <x:f>IF(AND(7&gt;=$E15,7&lt;=$F15),1,"")</x:f>
      </x:c>
      <x:c r="P15" s="101" t="str">
        <x:f>IF(AND(8&gt;=$E15,8&lt;=$F15),1,"")</x:f>
      </x:c>
      <x:c r="Q15" s="101" t="str">
        <x:f>IF(AND(9&gt;=$E15,9&lt;=$F15),1,"")</x:f>
      </x:c>
      <x:c r="R15" s="101" t="str">
        <x:f>IF(AND(10&gt;=$E15,10&lt;=$F15),1,"")</x:f>
      </x:c>
      <x:c r="S15" s="101" t="str">
        <x:f>IF(AND(11&gt;=$E15,11&lt;=$F15),1,"")</x:f>
      </x:c>
      <x:c r="T15" s="102" t="str">
        <x:f>IF(AND(12&gt;=$E15,12&lt;=$F15),1,"")</x:f>
      </x:c>
    </x:row>
    <x:row r="16" ht="34" customHeight="1">
      <x:c r="A16" s="92" t="str">
        <x:v>T09</x:v>
      </x:c>
      <x:c r="B16" s="87" t="str">
        <x:v>Sprint 3</x:v>
      </x:c>
      <x:c r="C16" s="77" t="str">
        <x:v>Consulta de catálogo y alertas de vencimiento</x:v>
      </x:c>
      <x:c r="D16" s="77" t="str">
        <x:v>Equipo / QA</x:v>
      </x:c>
      <x:c r="E16" s="87" t="n">
        <x:v>6</x:v>
      </x:c>
      <x:c r="F16" s="87" t="n">
        <x:v>6</x:v>
      </x:c>
      <x:c r="G16" s="88" t="n">
        <x:f>F16-E16+1</x:f>
        <x:v>1</x:v>
      </x:c>
      <x:c r="H16" s="78" t="str">
        <x:v>No iniciado</x:v>
      </x:c>
      <x:c r="I16" s="100" t="str">
        <x:f>IF(AND(1&gt;=$E16,1&lt;=$F16),1,"")</x:f>
      </x:c>
      <x:c r="J16" s="101" t="str">
        <x:f>IF(AND(2&gt;=$E16,2&lt;=$F16),1,"")</x:f>
      </x:c>
      <x:c r="K16" s="101" t="str">
        <x:f>IF(AND(3&gt;=$E16,3&lt;=$F16),1,"")</x:f>
      </x:c>
      <x:c r="L16" s="101" t="str">
        <x:f>IF(AND(4&gt;=$E16,4&lt;=$F16),1,"")</x:f>
      </x:c>
      <x:c r="M16" s="101" t="str">
        <x:f>IF(AND(5&gt;=$E16,5&lt;=$F16),1,"")</x:f>
      </x:c>
      <x:c r="N16" s="101" t="n">
        <x:f>IF(AND(6&gt;=$E16,6&lt;=$F16),1,"")</x:f>
        <x:v>1</x:v>
      </x:c>
      <x:c r="O16" s="101" t="str">
        <x:f>IF(AND(7&gt;=$E16,7&lt;=$F16),1,"")</x:f>
      </x:c>
      <x:c r="P16" s="101" t="str">
        <x:f>IF(AND(8&gt;=$E16,8&lt;=$F16),1,"")</x:f>
      </x:c>
      <x:c r="Q16" s="101" t="str">
        <x:f>IF(AND(9&gt;=$E16,9&lt;=$F16),1,"")</x:f>
      </x:c>
      <x:c r="R16" s="101" t="str">
        <x:f>IF(AND(10&gt;=$E16,10&lt;=$F16),1,"")</x:f>
      </x:c>
      <x:c r="S16" s="101" t="str">
        <x:f>IF(AND(11&gt;=$E16,11&lt;=$F16),1,"")</x:f>
      </x:c>
      <x:c r="T16" s="102" t="str">
        <x:f>IF(AND(12&gt;=$E16,12&lt;=$F16),1,"")</x:f>
      </x:c>
    </x:row>
    <x:row r="17" ht="34" customHeight="1">
      <x:c r="A17" s="106" t="str">
        <x:v>T10</x:v>
      </x:c>
      <x:c r="B17" s="107" t="str">
        <x:v>Sprint 4</x:v>
      </x:c>
      <x:c r="C17" s="108" t="str">
        <x:v>Búsqueda, filtros y centros de acopio</x:v>
      </x:c>
      <x:c r="D17" s="108" t="str">
        <x:v>Frontend / Backend</x:v>
      </x:c>
      <x:c r="E17" s="107" t="n">
        <x:v>7</x:v>
      </x:c>
      <x:c r="F17" s="107" t="n">
        <x:v>7</x:v>
      </x:c>
      <x:c r="G17" s="109" t="n">
        <x:f>F17-E17+1</x:f>
        <x:v>1</x:v>
      </x:c>
      <x:c r="H17" s="110" t="str">
        <x:v>No iniciado</x:v>
      </x:c>
      <x:c r="I17" s="100" t="str">
        <x:f>IF(AND(1&gt;=$E17,1&lt;=$F17),1,"")</x:f>
      </x:c>
      <x:c r="J17" s="101" t="str">
        <x:f>IF(AND(2&gt;=$E17,2&lt;=$F17),1,"")</x:f>
      </x:c>
      <x:c r="K17" s="101" t="str">
        <x:f>IF(AND(3&gt;=$E17,3&lt;=$F17),1,"")</x:f>
      </x:c>
      <x:c r="L17" s="101" t="str">
        <x:f>IF(AND(4&gt;=$E17,4&lt;=$F17),1,"")</x:f>
      </x:c>
      <x:c r="M17" s="101" t="str">
        <x:f>IF(AND(5&gt;=$E17,5&lt;=$F17),1,"")</x:f>
      </x:c>
      <x:c r="N17" s="101" t="str">
        <x:f>IF(AND(6&gt;=$E17,6&lt;=$F17),1,"")</x:f>
      </x:c>
      <x:c r="O17" s="101" t="n">
        <x:f>IF(AND(7&gt;=$E17,7&lt;=$F17),1,"")</x:f>
        <x:v>1</x:v>
      </x:c>
      <x:c r="P17" s="101" t="str">
        <x:f>IF(AND(8&gt;=$E17,8&lt;=$F17),1,"")</x:f>
      </x:c>
      <x:c r="Q17" s="101" t="str">
        <x:f>IF(AND(9&gt;=$E17,9&lt;=$F17),1,"")</x:f>
      </x:c>
      <x:c r="R17" s="101" t="str">
        <x:f>IF(AND(10&gt;=$E17,10&lt;=$F17),1,"")</x:f>
      </x:c>
      <x:c r="S17" s="101" t="str">
        <x:f>IF(AND(11&gt;=$E17,11&lt;=$F17),1,"")</x:f>
      </x:c>
      <x:c r="T17" s="102" t="str">
        <x:f>IF(AND(12&gt;=$E17,12&lt;=$F17),1,"")</x:f>
      </x:c>
    </x:row>
    <x:row r="18" ht="34" customHeight="1">
      <x:c r="A18" s="92" t="str">
        <x:v>T11</x:v>
      </x:c>
      <x:c r="B18" s="87" t="str">
        <x:v>Sprint 4</x:v>
      </x:c>
      <x:c r="C18" s="77" t="str">
        <x:v>Geolocalización, mapa y alternativa de captura manual</x:v>
      </x:c>
      <x:c r="D18" s="77" t="str">
        <x:v>Frontend</x:v>
      </x:c>
      <x:c r="E18" s="87" t="n">
        <x:v>7</x:v>
      </x:c>
      <x:c r="F18" s="87" t="n">
        <x:v>8</x:v>
      </x:c>
      <x:c r="G18" s="88" t="n">
        <x:f>F18-E18+1</x:f>
        <x:v>2</x:v>
      </x:c>
      <x:c r="H18" s="78" t="str">
        <x:v>No iniciado</x:v>
      </x:c>
      <x:c r="I18" s="100" t="str">
        <x:f>IF(AND(1&gt;=$E18,1&lt;=$F18),1,"")</x:f>
      </x:c>
      <x:c r="J18" s="101" t="str">
        <x:f>IF(AND(2&gt;=$E18,2&lt;=$F18),1,"")</x:f>
      </x:c>
      <x:c r="K18" s="101" t="str">
        <x:f>IF(AND(3&gt;=$E18,3&lt;=$F18),1,"")</x:f>
      </x:c>
      <x:c r="L18" s="101" t="str">
        <x:f>IF(AND(4&gt;=$E18,4&lt;=$F18),1,"")</x:f>
      </x:c>
      <x:c r="M18" s="101" t="str">
        <x:f>IF(AND(5&gt;=$E18,5&lt;=$F18),1,"")</x:f>
      </x:c>
      <x:c r="N18" s="101" t="str">
        <x:f>IF(AND(6&gt;=$E18,6&lt;=$F18),1,"")</x:f>
      </x:c>
      <x:c r="O18" s="101" t="n">
        <x:f>IF(AND(7&gt;=$E18,7&lt;=$F18),1,"")</x:f>
        <x:v>1</x:v>
      </x:c>
      <x:c r="P18" s="101" t="n">
        <x:f>IF(AND(8&gt;=$E18,8&lt;=$F18),1,"")</x:f>
        <x:v>1</x:v>
      </x:c>
      <x:c r="Q18" s="101" t="str">
        <x:f>IF(AND(9&gt;=$E18,9&lt;=$F18),1,"")</x:f>
      </x:c>
      <x:c r="R18" s="101" t="str">
        <x:f>IF(AND(10&gt;=$E18,10&lt;=$F18),1,"")</x:f>
      </x:c>
      <x:c r="S18" s="101" t="str">
        <x:f>IF(AND(11&gt;=$E18,11&lt;=$F18),1,"")</x:f>
      </x:c>
      <x:c r="T18" s="102" t="str">
        <x:f>IF(AND(12&gt;=$E18,12&lt;=$F18),1,"")</x:f>
      </x:c>
    </x:row>
    <x:row r="19" ht="34" customHeight="1">
      <x:c r="A19" s="106" t="str">
        <x:v>T12</x:v>
      </x:c>
      <x:c r="B19" s="107" t="str">
        <x:v>Sprint 4</x:v>
      </x:c>
      <x:c r="C19" s="108" t="str">
        <x:v>Solicitud, reserva y control contra doble asignación</x:v>
      </x:c>
      <x:c r="D19" s="108" t="str">
        <x:v>Backend / QA</x:v>
      </x:c>
      <x:c r="E19" s="107" t="n">
        <x:v>8</x:v>
      </x:c>
      <x:c r="F19" s="107" t="n">
        <x:v>8</x:v>
      </x:c>
      <x:c r="G19" s="109" t="n">
        <x:f>F19-E19+1</x:f>
        <x:v>1</x:v>
      </x:c>
      <x:c r="H19" s="110" t="str">
        <x:v>No iniciado</x:v>
      </x:c>
      <x:c r="I19" s="100" t="str">
        <x:f>IF(AND(1&gt;=$E19,1&lt;=$F19),1,"")</x:f>
      </x:c>
      <x:c r="J19" s="101" t="str">
        <x:f>IF(AND(2&gt;=$E19,2&lt;=$F19),1,"")</x:f>
      </x:c>
      <x:c r="K19" s="101" t="str">
        <x:f>IF(AND(3&gt;=$E19,3&lt;=$F19),1,"")</x:f>
      </x:c>
      <x:c r="L19" s="101" t="str">
        <x:f>IF(AND(4&gt;=$E19,4&lt;=$F19),1,"")</x:f>
      </x:c>
      <x:c r="M19" s="101" t="str">
        <x:f>IF(AND(5&gt;=$E19,5&lt;=$F19),1,"")</x:f>
      </x:c>
      <x:c r="N19" s="101" t="str">
        <x:f>IF(AND(6&gt;=$E19,6&lt;=$F19),1,"")</x:f>
      </x:c>
      <x:c r="O19" s="101" t="str">
        <x:f>IF(AND(7&gt;=$E19,7&lt;=$F19),1,"")</x:f>
      </x:c>
      <x:c r="P19" s="101" t="n">
        <x:f>IF(AND(8&gt;=$E19,8&lt;=$F19),1,"")</x:f>
        <x:v>1</x:v>
      </x:c>
      <x:c r="Q19" s="101" t="str">
        <x:f>IF(AND(9&gt;=$E19,9&lt;=$F19),1,"")</x:f>
      </x:c>
      <x:c r="R19" s="101" t="str">
        <x:f>IF(AND(10&gt;=$E19,10&lt;=$F19),1,"")</x:f>
      </x:c>
      <x:c r="S19" s="101" t="str">
        <x:f>IF(AND(11&gt;=$E19,11&lt;=$F19),1,"")</x:f>
      </x:c>
      <x:c r="T19" s="102" t="str">
        <x:f>IF(AND(12&gt;=$E19,12&lt;=$F19),1,"")</x:f>
      </x:c>
    </x:row>
    <x:row r="20" ht="34" customHeight="1">
      <x:c r="A20" s="92" t="str">
        <x:v>T13</x:v>
      </x:c>
      <x:c r="B20" s="87" t="str">
        <x:v>Sprint 5</x:v>
      </x:c>
      <x:c r="C20" s="77" t="str">
        <x:v>Seguimiento de recolección, entrega y evidencia</x:v>
      </x:c>
      <x:c r="D20" s="77" t="str">
        <x:v>Equipo</x:v>
      </x:c>
      <x:c r="E20" s="87" t="n">
        <x:v>9</x:v>
      </x:c>
      <x:c r="F20" s="87" t="n">
        <x:v>9</x:v>
      </x:c>
      <x:c r="G20" s="88" t="n">
        <x:f>F20-E20+1</x:f>
        <x:v>1</x:v>
      </x:c>
      <x:c r="H20" s="78" t="str">
        <x:v>No iniciado</x:v>
      </x:c>
      <x:c r="I20" s="100" t="str">
        <x:f>IF(AND(1&gt;=$E20,1&lt;=$F20),1,"")</x:f>
      </x:c>
      <x:c r="J20" s="101" t="str">
        <x:f>IF(AND(2&gt;=$E20,2&lt;=$F20),1,"")</x:f>
      </x:c>
      <x:c r="K20" s="101" t="str">
        <x:f>IF(AND(3&gt;=$E20,3&lt;=$F20),1,"")</x:f>
      </x:c>
      <x:c r="L20" s="101" t="str">
        <x:f>IF(AND(4&gt;=$E20,4&lt;=$F20),1,"")</x:f>
      </x:c>
      <x:c r="M20" s="101" t="str">
        <x:f>IF(AND(5&gt;=$E20,5&lt;=$F20),1,"")</x:f>
      </x:c>
      <x:c r="N20" s="101" t="str">
        <x:f>IF(AND(6&gt;=$E20,6&lt;=$F20),1,"")</x:f>
      </x:c>
      <x:c r="O20" s="101" t="str">
        <x:f>IF(AND(7&gt;=$E20,7&lt;=$F20),1,"")</x:f>
      </x:c>
      <x:c r="P20" s="101" t="str">
        <x:f>IF(AND(8&gt;=$E20,8&lt;=$F20),1,"")</x:f>
      </x:c>
      <x:c r="Q20" s="101" t="n">
        <x:f>IF(AND(9&gt;=$E20,9&lt;=$F20),1,"")</x:f>
        <x:v>1</x:v>
      </x:c>
      <x:c r="R20" s="101" t="str">
        <x:f>IF(AND(10&gt;=$E20,10&lt;=$F20),1,"")</x:f>
      </x:c>
      <x:c r="S20" s="101" t="str">
        <x:f>IF(AND(11&gt;=$E20,11&lt;=$F20),1,"")</x:f>
      </x:c>
      <x:c r="T20" s="102" t="str">
        <x:f>IF(AND(12&gt;=$E20,12&lt;=$F20),1,"")</x:f>
      </x:c>
    </x:row>
    <x:row r="21" ht="34" customHeight="1">
      <x:c r="A21" s="106" t="str">
        <x:v>T14</x:v>
      </x:c>
      <x:c r="B21" s="107" t="str">
        <x:v>Sprint 5</x:v>
      </x:c>
      <x:c r="C21" s="108" t="str">
        <x:v>Notificaciones configurables y manejo de reintentos</x:v>
      </x:c>
      <x:c r="D21" s="108" t="str">
        <x:v>Backend</x:v>
      </x:c>
      <x:c r="E21" s="107" t="n">
        <x:v>9</x:v>
      </x:c>
      <x:c r="F21" s="107" t="n">
        <x:v>10</x:v>
      </x:c>
      <x:c r="G21" s="109" t="n">
        <x:f>F21-E21+1</x:f>
        <x:v>2</x:v>
      </x:c>
      <x:c r="H21" s="110" t="str">
        <x:v>No iniciado</x:v>
      </x:c>
      <x:c r="I21" s="100" t="str">
        <x:f>IF(AND(1&gt;=$E21,1&lt;=$F21),1,"")</x:f>
      </x:c>
      <x:c r="J21" s="101" t="str">
        <x:f>IF(AND(2&gt;=$E21,2&lt;=$F21),1,"")</x:f>
      </x:c>
      <x:c r="K21" s="101" t="str">
        <x:f>IF(AND(3&gt;=$E21,3&lt;=$F21),1,"")</x:f>
      </x:c>
      <x:c r="L21" s="101" t="str">
        <x:f>IF(AND(4&gt;=$E21,4&lt;=$F21),1,"")</x:f>
      </x:c>
      <x:c r="M21" s="101" t="str">
        <x:f>IF(AND(5&gt;=$E21,5&lt;=$F21),1,"")</x:f>
      </x:c>
      <x:c r="N21" s="101" t="str">
        <x:f>IF(AND(6&gt;=$E21,6&lt;=$F21),1,"")</x:f>
      </x:c>
      <x:c r="O21" s="101" t="str">
        <x:f>IF(AND(7&gt;=$E21,7&lt;=$F21),1,"")</x:f>
      </x:c>
      <x:c r="P21" s="101" t="str">
        <x:f>IF(AND(8&gt;=$E21,8&lt;=$F21),1,"")</x:f>
      </x:c>
      <x:c r="Q21" s="101" t="n">
        <x:f>IF(AND(9&gt;=$E21,9&lt;=$F21),1,"")</x:f>
        <x:v>1</x:v>
      </x:c>
      <x:c r="R21" s="101" t="n">
        <x:f>IF(AND(10&gt;=$E21,10&lt;=$F21),1,"")</x:f>
        <x:v>1</x:v>
      </x:c>
      <x:c r="S21" s="101" t="str">
        <x:f>IF(AND(11&gt;=$E21,11&lt;=$F21),1,"")</x:f>
      </x:c>
      <x:c r="T21" s="102" t="str">
        <x:f>IF(AND(12&gt;=$E21,12&lt;=$F21),1,"")</x:f>
      </x:c>
    </x:row>
    <x:row r="22" ht="34" customHeight="1">
      <x:c r="A22" s="92" t="str">
        <x:v>T15</x:v>
      </x:c>
      <x:c r="B22" s="87" t="str">
        <x:v>Sprint 5</x:v>
      </x:c>
      <x:c r="C22" s="77" t="str">
        <x:v>Bitácora, indicadores y reportes de impacto</x:v>
      </x:c>
      <x:c r="D22" s="77" t="str">
        <x:v>Backend / Frontend</x:v>
      </x:c>
      <x:c r="E22" s="87" t="n">
        <x:v>10</x:v>
      </x:c>
      <x:c r="F22" s="87" t="n">
        <x:v>10</x:v>
      </x:c>
      <x:c r="G22" s="88" t="n">
        <x:f>F22-E22+1</x:f>
        <x:v>1</x:v>
      </x:c>
      <x:c r="H22" s="78" t="str">
        <x:v>No iniciado</x:v>
      </x:c>
      <x:c r="I22" s="100" t="str">
        <x:f>IF(AND(1&gt;=$E22,1&lt;=$F22),1,"")</x:f>
      </x:c>
      <x:c r="J22" s="101" t="str">
        <x:f>IF(AND(2&gt;=$E22,2&lt;=$F22),1,"")</x:f>
      </x:c>
      <x:c r="K22" s="101" t="str">
        <x:f>IF(AND(3&gt;=$E22,3&lt;=$F22),1,"")</x:f>
      </x:c>
      <x:c r="L22" s="101" t="str">
        <x:f>IF(AND(4&gt;=$E22,4&lt;=$F22),1,"")</x:f>
      </x:c>
      <x:c r="M22" s="101" t="str">
        <x:f>IF(AND(5&gt;=$E22,5&lt;=$F22),1,"")</x:f>
      </x:c>
      <x:c r="N22" s="101" t="str">
        <x:f>IF(AND(6&gt;=$E22,6&lt;=$F22),1,"")</x:f>
      </x:c>
      <x:c r="O22" s="101" t="str">
        <x:f>IF(AND(7&gt;=$E22,7&lt;=$F22),1,"")</x:f>
      </x:c>
      <x:c r="P22" s="101" t="str">
        <x:f>IF(AND(8&gt;=$E22,8&lt;=$F22),1,"")</x:f>
      </x:c>
      <x:c r="Q22" s="101" t="str">
        <x:f>IF(AND(9&gt;=$E22,9&lt;=$F22),1,"")</x:f>
      </x:c>
      <x:c r="R22" s="101" t="n">
        <x:f>IF(AND(10&gt;=$E22,10&lt;=$F22),1,"")</x:f>
        <x:v>1</x:v>
      </x:c>
      <x:c r="S22" s="101" t="str">
        <x:f>IF(AND(11&gt;=$E22,11&lt;=$F22),1,"")</x:f>
      </x:c>
      <x:c r="T22" s="102" t="str">
        <x:f>IF(AND(12&gt;=$E22,12&lt;=$F22),1,"")</x:f>
      </x:c>
    </x:row>
    <x:row r="23" ht="34" customHeight="1">
      <x:c r="A23" s="106" t="str">
        <x:v>T16</x:v>
      </x:c>
      <x:c r="B23" s="107" t="str">
        <x:v>Sprint 6</x:v>
      </x:c>
      <x:c r="C23" s="108" t="str">
        <x:v>Pruebas integrales, rendimiento y accesibilidad</x:v>
      </x:c>
      <x:c r="D23" s="108" t="str">
        <x:v>QA / Equipo</x:v>
      </x:c>
      <x:c r="E23" s="107" t="n">
        <x:v>11</x:v>
      </x:c>
      <x:c r="F23" s="107" t="n">
        <x:v>11</x:v>
      </x:c>
      <x:c r="G23" s="109" t="n">
        <x:f>F23-E23+1</x:f>
        <x:v>1</x:v>
      </x:c>
      <x:c r="H23" s="110" t="str">
        <x:v>No iniciado</x:v>
      </x:c>
      <x:c r="I23" s="100" t="str">
        <x:f>IF(AND(1&gt;=$E23,1&lt;=$F23),1,"")</x:f>
      </x:c>
      <x:c r="J23" s="101" t="str">
        <x:f>IF(AND(2&gt;=$E23,2&lt;=$F23),1,"")</x:f>
      </x:c>
      <x:c r="K23" s="101" t="str">
        <x:f>IF(AND(3&gt;=$E23,3&lt;=$F23),1,"")</x:f>
      </x:c>
      <x:c r="L23" s="101" t="str">
        <x:f>IF(AND(4&gt;=$E23,4&lt;=$F23),1,"")</x:f>
      </x:c>
      <x:c r="M23" s="101" t="str">
        <x:f>IF(AND(5&gt;=$E23,5&lt;=$F23),1,"")</x:f>
      </x:c>
      <x:c r="N23" s="101" t="str">
        <x:f>IF(AND(6&gt;=$E23,6&lt;=$F23),1,"")</x:f>
      </x:c>
      <x:c r="O23" s="101" t="str">
        <x:f>IF(AND(7&gt;=$E23,7&lt;=$F23),1,"")</x:f>
      </x:c>
      <x:c r="P23" s="101" t="str">
        <x:f>IF(AND(8&gt;=$E23,8&lt;=$F23),1,"")</x:f>
      </x:c>
      <x:c r="Q23" s="101" t="str">
        <x:f>IF(AND(9&gt;=$E23,9&lt;=$F23),1,"")</x:f>
      </x:c>
      <x:c r="R23" s="101" t="str">
        <x:f>IF(AND(10&gt;=$E23,10&lt;=$F23),1,"")</x:f>
      </x:c>
      <x:c r="S23" s="101" t="n">
        <x:f>IF(AND(11&gt;=$E23,11&lt;=$F23),1,"")</x:f>
        <x:v>1</x:v>
      </x:c>
      <x:c r="T23" s="102" t="str">
        <x:f>IF(AND(12&gt;=$E23,12&lt;=$F23),1,"")</x:f>
      </x:c>
    </x:row>
    <x:row r="24" ht="34" customHeight="1">
      <x:c r="A24" s="92" t="str">
        <x:v>T17</x:v>
      </x:c>
      <x:c r="B24" s="87" t="str">
        <x:v>Sprint 6</x:v>
      </x:c>
      <x:c r="C24" s="77" t="str">
        <x:v>Revisión de seguridad, restauración y documentación</x:v>
      </x:c>
      <x:c r="D24" s="77" t="str">
        <x:v>DevOps / QA</x:v>
      </x:c>
      <x:c r="E24" s="87" t="n">
        <x:v>11</x:v>
      </x:c>
      <x:c r="F24" s="87" t="n">
        <x:v>12</x:v>
      </x:c>
      <x:c r="G24" s="88" t="n">
        <x:f>F24-E24+1</x:f>
        <x:v>2</x:v>
      </x:c>
      <x:c r="H24" s="78" t="str">
        <x:v>No iniciado</x:v>
      </x:c>
      <x:c r="I24" s="100" t="str">
        <x:f>IF(AND(1&gt;=$E24,1&lt;=$F24),1,"")</x:f>
      </x:c>
      <x:c r="J24" s="101" t="str">
        <x:f>IF(AND(2&gt;=$E24,2&lt;=$F24),1,"")</x:f>
      </x:c>
      <x:c r="K24" s="101" t="str">
        <x:f>IF(AND(3&gt;=$E24,3&lt;=$F24),1,"")</x:f>
      </x:c>
      <x:c r="L24" s="101" t="str">
        <x:f>IF(AND(4&gt;=$E24,4&lt;=$F24),1,"")</x:f>
      </x:c>
      <x:c r="M24" s="101" t="str">
        <x:f>IF(AND(5&gt;=$E24,5&lt;=$F24),1,"")</x:f>
      </x:c>
      <x:c r="N24" s="101" t="str">
        <x:f>IF(AND(6&gt;=$E24,6&lt;=$F24),1,"")</x:f>
      </x:c>
      <x:c r="O24" s="101" t="str">
        <x:f>IF(AND(7&gt;=$E24,7&lt;=$F24),1,"")</x:f>
      </x:c>
      <x:c r="P24" s="101" t="str">
        <x:f>IF(AND(8&gt;=$E24,8&lt;=$F24),1,"")</x:f>
      </x:c>
      <x:c r="Q24" s="101" t="str">
        <x:f>IF(AND(9&gt;=$E24,9&lt;=$F24),1,"")</x:f>
      </x:c>
      <x:c r="R24" s="101" t="str">
        <x:f>IF(AND(10&gt;=$E24,10&lt;=$F24),1,"")</x:f>
      </x:c>
      <x:c r="S24" s="101" t="n">
        <x:f>IF(AND(11&gt;=$E24,11&lt;=$F24),1,"")</x:f>
        <x:v>1</x:v>
      </x:c>
      <x:c r="T24" s="102" t="n">
        <x:f>IF(AND(12&gt;=$E24,12&lt;=$F24),1,"")</x:f>
        <x:v>1</x:v>
      </x:c>
    </x:row>
    <x:row r="25" ht="34" customHeight="1">
      <x:c r="A25" s="111" t="str">
        <x:v>T18</x:v>
      </x:c>
      <x:c r="B25" s="112" t="str">
        <x:v>Sprint 6</x:v>
      </x:c>
      <x:c r="C25" s="113" t="str">
        <x:v>Piloto, aceptación, demostración y cierre</x:v>
      </x:c>
      <x:c r="D25" s="113" t="str">
        <x:v>PO / Equipo</x:v>
      </x:c>
      <x:c r="E25" s="112" t="n">
        <x:v>12</x:v>
      </x:c>
      <x:c r="F25" s="112" t="n">
        <x:v>12</x:v>
      </x:c>
      <x:c r="G25" s="114" t="n">
        <x:f>F25-E25+1</x:f>
        <x:v>1</x:v>
      </x:c>
      <x:c r="H25" s="115" t="str">
        <x:v>No iniciado</x:v>
      </x:c>
      <x:c r="I25" s="103" t="str">
        <x:f>IF(AND(1&gt;=$E25,1&lt;=$F25),1,"")</x:f>
      </x:c>
      <x:c r="J25" s="104" t="str">
        <x:f>IF(AND(2&gt;=$E25,2&lt;=$F25),1,"")</x:f>
      </x:c>
      <x:c r="K25" s="104" t="str">
        <x:f>IF(AND(3&gt;=$E25,3&lt;=$F25),1,"")</x:f>
      </x:c>
      <x:c r="L25" s="104" t="str">
        <x:f>IF(AND(4&gt;=$E25,4&lt;=$F25),1,"")</x:f>
      </x:c>
      <x:c r="M25" s="104" t="str">
        <x:f>IF(AND(5&gt;=$E25,5&lt;=$F25),1,"")</x:f>
      </x:c>
      <x:c r="N25" s="104" t="str">
        <x:f>IF(AND(6&gt;=$E25,6&lt;=$F25),1,"")</x:f>
      </x:c>
      <x:c r="O25" s="104" t="str">
        <x:f>IF(AND(7&gt;=$E25,7&lt;=$F25),1,"")</x:f>
      </x:c>
      <x:c r="P25" s="104" t="str">
        <x:f>IF(AND(8&gt;=$E25,8&lt;=$F25),1,"")</x:f>
      </x:c>
      <x:c r="Q25" s="104" t="str">
        <x:f>IF(AND(9&gt;=$E25,9&lt;=$F25),1,"")</x:f>
      </x:c>
      <x:c r="R25" s="104" t="str">
        <x:f>IF(AND(10&gt;=$E25,10&lt;=$F25),1,"")</x:f>
      </x:c>
      <x:c r="S25" s="104" t="str">
        <x:f>IF(AND(11&gt;=$E25,11&lt;=$F25),1,"")</x:f>
      </x:c>
      <x:c r="T25" s="105" t="n">
        <x:f>IF(AND(12&gt;=$E25,12&lt;=$F25),1,"")</x:f>
        <x:v>1</x:v>
      </x:c>
    </x:row>
    <x:row r="27" ht="28" customHeight="1">
      <x:c r="A27" s="8" t="str">
        <x:v>Uso sugerido: actualiza Inicio, Fin y Estado; el Gantt, la duración y los indicadores se recalculan automáticamente.</x:v>
      </x:c>
      <x:c r="B27" s="8" t="str">
        <x:v>Uso sugerido: actualiza Inicio, Fin y Estado; el Gantt, la duración y los indicadores se recalculan automáticamente.</x:v>
      </x:c>
      <x:c r="C27" s="8" t="str">
        <x:v>Uso sugerido: actualiza Inicio, Fin y Estado; el Gantt, la duración y los indicadores se recalculan automáticamente.</x:v>
      </x:c>
      <x:c r="D27" s="8" t="str">
        <x:v>Uso sugerido: actualiza Inicio, Fin y Estado; el Gantt, la duración y los indicadores se recalculan automáticamente.</x:v>
      </x:c>
      <x:c r="E27" s="8" t="str">
        <x:v>Uso sugerido: actualiza Inicio, Fin y Estado; el Gantt, la duración y los indicadores se recalculan automáticamente.</x:v>
      </x:c>
      <x:c r="F27" s="8" t="str">
        <x:v>Uso sugerido: actualiza Inicio, Fin y Estado; el Gantt, la duración y los indicadores se recalculan automáticamente.</x:v>
      </x:c>
      <x:c r="G27" s="8" t="str">
        <x:v>Uso sugerido: actualiza Inicio, Fin y Estado; el Gantt, la duración y los indicadores se recalculan automáticamente.</x:v>
      </x:c>
      <x:c r="H27" s="8" t="str">
        <x:v>Uso sugerido: actualiza Inicio, Fin y Estado; el Gantt, la duración y los indicadores se recalculan automáticamente.</x:v>
      </x:c>
      <x:c r="I27" s="8" t="str">
        <x:v>Uso sugerido: actualiza Inicio, Fin y Estado; el Gantt, la duración y los indicadores se recalculan automáticamente.</x:v>
      </x:c>
      <x:c r="J27" s="8" t="str">
        <x:v>Uso sugerido: actualiza Inicio, Fin y Estado; el Gantt, la duración y los indicadores se recalculan automáticamente.</x:v>
      </x:c>
      <x:c r="K27" s="8" t="str">
        <x:v>Uso sugerido: actualiza Inicio, Fin y Estado; el Gantt, la duración y los indicadores se recalculan automáticamente.</x:v>
      </x:c>
      <x:c r="L27" s="8" t="str">
        <x:v>Uso sugerido: actualiza Inicio, Fin y Estado; el Gantt, la duración y los indicadores se recalculan automáticamente.</x:v>
      </x:c>
      <x:c r="M27" s="8" t="str">
        <x:v>Uso sugerido: actualiza Inicio, Fin y Estado; el Gantt, la duración y los indicadores se recalculan automáticamente.</x:v>
      </x:c>
      <x:c r="N27" s="8" t="str">
        <x:v>Uso sugerido: actualiza Inicio, Fin y Estado; el Gantt, la duración y los indicadores se recalculan automáticamente.</x:v>
      </x:c>
      <x:c r="O27" s="8" t="str">
        <x:v>Uso sugerido: actualiza Inicio, Fin y Estado; el Gantt, la duración y los indicadores se recalculan automáticamente.</x:v>
      </x:c>
      <x:c r="P27" s="8" t="str">
        <x:v>Uso sugerido: actualiza Inicio, Fin y Estado; el Gantt, la duración y los indicadores se recalculan automáticamente.</x:v>
      </x:c>
      <x:c r="Q27" s="8" t="str">
        <x:v>Uso sugerido: actualiza Inicio, Fin y Estado; el Gantt, la duración y los indicadores se recalculan automáticamente.</x:v>
      </x:c>
      <x:c r="R27" s="8" t="str">
        <x:v>Uso sugerido: actualiza Inicio, Fin y Estado; el Gantt, la duración y los indicadores se recalculan automáticamente.</x:v>
      </x:c>
      <x:c r="S27" s="8" t="str">
        <x:v>Uso sugerido: actualiza Inicio, Fin y Estado; el Gantt, la duración y los indicadores se recalculan automáticamente.</x:v>
      </x:c>
      <x:c r="T27" s="8" t="str">
        <x:v>Uso sugerido: actualiza Inicio, Fin y Estado; el Gantt, la duración y los indicadores se recalculan automáticamente.</x:v>
      </x:c>
    </x:row>
  </x:sheetData>
  <x:mergeCells>
    <x:mergeCell ref="A1:T1"/>
    <x:mergeCell ref="A2:T2"/>
    <x:mergeCell ref="A4:B4"/>
    <x:mergeCell ref="C4:D4"/>
    <x:mergeCell ref="E4:F4"/>
    <x:mergeCell ref="G4:H4"/>
    <x:mergeCell ref="A5:B5"/>
    <x:mergeCell ref="C5:D5"/>
    <x:mergeCell ref="E5:F5"/>
    <x:mergeCell ref="G5:H5"/>
    <x:mergeCell ref="A27:T27"/>
  </x:mergeCells>
  <x:conditionalFormatting sqref="I8:T25">
    <x:cfRule type="cellIs" dxfId="0" priority="1" operator="equal">
      <x:formula>1</x:formula>
    </x:cfRule>
  </x:conditionalFormatting>
  <x:conditionalFormatting sqref="H8:H25">
    <x:cfRule type="containsText" dxfId="1" priority="2" operator="containsText" text="Completado"/>
    <x:cfRule type="containsText" dxfId="2" priority="3" operator="containsText" text="Bloqueado"/>
    <x:cfRule type="containsText" dxfId="3" priority="4" operator="containsText" text="En curso"/>
  </x:conditionalFormatting>
  <x:dataValidations count="1">
    <x:dataValidation type="list" sqref="H8:H25">
      <x:formula1>"No iniciado,En curso,Completado,Bloqueado"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13" hidden="0" customWidth="1"/>
    <x:col min="4" max="4" width="9" hidden="0" customWidth="1"/>
    <x:col min="5" max="5" width="10" hidden="0" customWidth="1"/>
    <x:col min="6" max="6" width="10" hidden="0" customWidth="1"/>
    <x:col min="7" max="7" width="11" hidden="0" customWidth="1"/>
    <x:col min="8" max="8" width="18" hidden="0" customWidth="1"/>
    <x:col min="9" max="9" width="34" hidden="0" customWidth="1"/>
    <x:col min="10" max="10" width="34" hidden="0" customWidth="1"/>
  </x:cols>
  <x:sheetData>
    <x:row r="1" ht="34" customHeight="1">
      <x:c r="A1" s="4" t="str">
        <x:v>RedSolidaria — Matriz de riesgos</x:v>
      </x:c>
      <x:c r="B1" s="4" t="str">
        <x:v>RedSolidaria — Matriz de riesgos</x:v>
      </x:c>
      <x:c r="C1" s="4" t="str">
        <x:v>RedSolidaria — Matriz de riesgos</x:v>
      </x:c>
      <x:c r="D1" s="4" t="str">
        <x:v>RedSolidaria — Matriz de riesgos</x:v>
      </x:c>
      <x:c r="E1" s="4" t="str">
        <x:v>RedSolidaria — Matriz de riesgos</x:v>
      </x:c>
      <x:c r="F1" s="4" t="str">
        <x:v>RedSolidaria — Matriz de riesgos</x:v>
      </x:c>
      <x:c r="G1" s="4" t="str">
        <x:v>RedSolidaria — Matriz de riesgos</x:v>
      </x:c>
      <x:c r="H1" s="4" t="str">
        <x:v>RedSolidaria — Matriz de riesgos</x:v>
      </x:c>
      <x:c r="I1" s="4" t="str">
        <x:v>RedSolidaria — Matriz de riesgos</x:v>
      </x:c>
      <x:c r="J1" s="4" t="str">
        <x:v>RedSolidaria — Matriz de riesgos</x:v>
      </x:c>
    </x:row>
    <x:row r="2" ht="30" customHeight="1">
      <x:c r="A2" s="8" t="str">
        <x:v>Escala 1–3: baja, media y alta. Puntaje = Probabilidad × Impacto; revisar al planificar cada sprint.</x:v>
      </x:c>
      <x:c r="B2" s="8" t="str">
        <x:v>Escala 1–3: baja, media y alta. Puntaje = Probabilidad × Impacto; revisar al planificar cada sprint.</x:v>
      </x:c>
      <x:c r="C2" s="8" t="str">
        <x:v>Escala 1–3: baja, media y alta. Puntaje = Probabilidad × Impacto; revisar al planificar cada sprint.</x:v>
      </x:c>
      <x:c r="D2" s="8" t="str">
        <x:v>Escala 1–3: baja, media y alta. Puntaje = Probabilidad × Impacto; revisar al planificar cada sprint.</x:v>
      </x:c>
      <x:c r="E2" s="8" t="str">
        <x:v>Escala 1–3: baja, media y alta. Puntaje = Probabilidad × Impacto; revisar al planificar cada sprint.</x:v>
      </x:c>
      <x:c r="F2" s="8" t="str">
        <x:v>Escala 1–3: baja, media y alta. Puntaje = Probabilidad × Impacto; revisar al planificar cada sprint.</x:v>
      </x:c>
      <x:c r="G2" s="8" t="str">
        <x:v>Escala 1–3: baja, media y alta. Puntaje = Probabilidad × Impacto; revisar al planificar cada sprint.</x:v>
      </x:c>
      <x:c r="H2" s="8" t="str">
        <x:v>Escala 1–3: baja, media y alta. Puntaje = Probabilidad × Impacto; revisar al planificar cada sprint.</x:v>
      </x:c>
      <x:c r="I2" s="8" t="str">
        <x:v>Escala 1–3: baja, media y alta. Puntaje = Probabilidad × Impacto; revisar al planificar cada sprint.</x:v>
      </x:c>
      <x:c r="J2" s="8" t="str">
        <x:v>Escala 1–3: baja, media y alta. Puntaje = Probabilidad × Impacto; revisar al planificar cada sprint.</x:v>
      </x:c>
    </x:row>
    <x:row r="4" ht="32" customHeight="1">
      <x:c r="A4" s="127" t="str">
        <x:v>ID</x:v>
      </x:c>
      <x:c r="B4" s="128" t="str">
        <x:v>Riesgo</x:v>
      </x:c>
      <x:c r="C4" s="128" t="str">
        <x:v>Categoría</x:v>
      </x:c>
      <x:c r="D4" s="128" t="str">
        <x:v>Prob.
1–3</x:v>
      </x:c>
      <x:c r="E4" s="128" t="str">
        <x:v>Impacto
1–3</x:v>
      </x:c>
      <x:c r="F4" s="128" t="str">
        <x:v>Puntaje</x:v>
      </x:c>
      <x:c r="G4" s="128" t="str">
        <x:v>Nivel</x:v>
      </x:c>
      <x:c r="H4" s="128" t="str">
        <x:v>Responsable</x:v>
      </x:c>
      <x:c r="I4" s="128" t="str">
        <x:v>Mitigación preventiva</x:v>
      </x:c>
      <x:c r="J4" s="129" t="str">
        <x:v>Contingencia</x:v>
      </x:c>
    </x:row>
    <x:row r="5" ht="54" customHeight="1">
      <x:c r="A5" s="91" t="str">
        <x:v>R1</x:v>
      </x:c>
      <x:c r="B5" s="74" t="str">
        <x:v>Retraso o indisponibilidad de la API de geolocalización</x:v>
      </x:c>
      <x:c r="C5" s="74" t="str">
        <x:v>Externo</x:v>
      </x:c>
      <x:c r="D5" s="85" t="n">
        <x:v>2</x:v>
      </x:c>
      <x:c r="E5" s="85" t="n">
        <x:v>2</x:v>
      </x:c>
      <x:c r="F5" s="85" t="n">
        <x:f>D5*E5</x:f>
        <x:v>4</x:v>
      </x:c>
      <x:c r="G5" s="85" t="str">
        <x:f>IF(F5&gt;=7,"Crítico",IF(F5&gt;=4,"Alto",IF(F5&gt;=2,"Medio","Bajo")))</x:f>
        <x:v>Alto</x:v>
      </x:c>
      <x:c r="H5" s="74" t="str">
        <x:v>Backend</x:v>
      </x:c>
      <x:c r="I5" s="74" t="str">
        <x:v>Encapsular proveedor, caché de coordenadas y captura manual</x:v>
      </x:c>
      <x:c r="J5" s="75" t="str">
        <x:v>Activar vista de lista y geocodificación diferida</x:v>
      </x:c>
    </x:row>
    <x:row r="6" ht="54" customHeight="1">
      <x:c r="A6" s="106" t="str">
        <x:v>R2</x:v>
      </x:c>
      <x:c r="B6" s="108" t="str">
        <x:v>Doble reserva o inconsistencia de inventario</x:v>
      </x:c>
      <x:c r="C6" s="108" t="str">
        <x:v>Técnico</x:v>
      </x:c>
      <x:c r="D6" s="107" t="n">
        <x:v>2</x:v>
      </x:c>
      <x:c r="E6" s="107" t="n">
        <x:v>3</x:v>
      </x:c>
      <x:c r="F6" s="107" t="n">
        <x:f>D6*E6</x:f>
        <x:v>6</x:v>
      </x:c>
      <x:c r="G6" s="107" t="str">
        <x:f>IF(F6&gt;=7,"Crítico",IF(F6&gt;=4,"Alto",IF(F6&gt;=2,"Medio","Bajo")))</x:f>
        <x:v>Alto</x:v>
      </x:c>
      <x:c r="H6" s="108" t="str">
        <x:v>Backend / QA</x:v>
      </x:c>
      <x:c r="I6" s="108" t="str">
        <x:v>Transacciones, restricción única y pruebas de concurrencia</x:v>
      </x:c>
      <x:c r="J6" s="110" t="str">
        <x:v>Reversión manual auditada y bloqueo temporal</x:v>
      </x:c>
    </x:row>
    <x:row r="7" ht="54" customHeight="1">
      <x:c r="A7" s="92" t="str">
        <x:v>R3</x:v>
      </x:c>
      <x:c r="B7" s="77" t="str">
        <x:v>Exposición de datos personales o acceso no autorizado</x:v>
      </x:c>
      <x:c r="C7" s="77" t="str">
        <x:v>Seguridad</x:v>
      </x:c>
      <x:c r="D7" s="87" t="n">
        <x:v>2</x:v>
      </x:c>
      <x:c r="E7" s="87" t="n">
        <x:v>3</x:v>
      </x:c>
      <x:c r="F7" s="87" t="n">
        <x:f>D7*E7</x:f>
        <x:v>6</x:v>
      </x:c>
      <x:c r="G7" s="87" t="str">
        <x:f>IF(F7&gt;=7,"Crítico",IF(F7&gt;=4,"Alto",IF(F7&gt;=2,"Medio","Bajo")))</x:f>
        <x:v>Alto</x:v>
      </x:c>
      <x:c r="H7" s="77" t="str">
        <x:v>DevOps / Backend</x:v>
      </x:c>
      <x:c r="I7" s="77" t="str">
        <x:v>RBAC, menor privilegio, cifrado y revisión de permisos</x:v>
      </x:c>
      <x:c r="J7" s="78" t="str">
        <x:v>Aislar incidente, revocar acceso y notificar conforme a política</x:v>
      </x:c>
    </x:row>
    <x:row r="8" ht="54" customHeight="1">
      <x:c r="A8" s="106" t="str">
        <x:v>R4</x:v>
      </x:c>
      <x:c r="B8" s="108" t="str">
        <x:v>Información incorrecta sobre cantidad, condición o caducidad</x:v>
      </x:c>
      <x:c r="C8" s="108" t="str">
        <x:v>Operativo</x:v>
      </x:c>
      <x:c r="D8" s="107" t="n">
        <x:v>3</x:v>
      </x:c>
      <x:c r="E8" s="107" t="n">
        <x:v>3</x:v>
      </x:c>
      <x:c r="F8" s="107" t="n">
        <x:f>D8*E8</x:f>
        <x:v>9</x:v>
      </x:c>
      <x:c r="G8" s="107" t="str">
        <x:f>IF(F8&gt;=7,"Crítico",IF(F8&gt;=4,"Alto",IF(F8&gt;=2,"Medio","Bajo")))</x:f>
        <x:v>Crítico</x:v>
      </x:c>
      <x:c r="H8" s="108" t="str">
        <x:v>PO / Operación</x:v>
      </x:c>
      <x:c r="I8" s="108" t="str">
        <x:v>Campos obligatorios, confirmación, evidencia y reputación</x:v>
      </x:c>
      <x:c r="J8" s="110" t="str">
        <x:v>Suspender publicación y abrir incidencia prioritaria</x:v>
      </x:c>
    </x:row>
    <x:row r="9" ht="54" customHeight="1">
      <x:c r="A9" s="92" t="str">
        <x:v>R5</x:v>
      </x:c>
      <x:c r="B9" s="77" t="str">
        <x:v>Baja adopción por formularios complejos o falta de confianza</x:v>
      </x:c>
      <x:c r="C9" s="77" t="str">
        <x:v>Producto</x:v>
      </x:c>
      <x:c r="D9" s="87" t="n">
        <x:v>2</x:v>
      </x:c>
      <x:c r="E9" s="87" t="n">
        <x:v>3</x:v>
      </x:c>
      <x:c r="F9" s="87" t="n">
        <x:f>D9*E9</x:f>
        <x:v>6</x:v>
      </x:c>
      <x:c r="G9" s="87" t="str">
        <x:f>IF(F9&gt;=7,"Crítico",IF(F9&gt;=4,"Alto",IF(F9&gt;=2,"Medio","Bajo")))</x:f>
        <x:v>Alto</x:v>
      </x:c>
      <x:c r="H9" s="77" t="str">
        <x:v>UX / PO</x:v>
      </x:c>
      <x:c r="I9" s="77" t="str">
        <x:v>Prototipos tempranos, pruebas con usuarios y formularios progresivos</x:v>
      </x:c>
      <x:c r="J9" s="78" t="str">
        <x:v>Simplificar flujo y ofrecer acompañamiento al piloto</x:v>
      </x:c>
    </x:row>
    <x:row r="10" ht="54" customHeight="1">
      <x:c r="A10" s="106" t="str">
        <x:v>R6</x:v>
      </x:c>
      <x:c r="B10" s="108" t="str">
        <x:v>Notificaciones excesivas, duplicadas o no entregadas</x:v>
      </x:c>
      <x:c r="C10" s="108" t="str">
        <x:v>Técnico</x:v>
      </x:c>
      <x:c r="D10" s="107" t="n">
        <x:v>2</x:v>
      </x:c>
      <x:c r="E10" s="107" t="n">
        <x:v>2</x:v>
      </x:c>
      <x:c r="F10" s="107" t="n">
        <x:f>D10*E10</x:f>
        <x:v>4</x:v>
      </x:c>
      <x:c r="G10" s="107" t="str">
        <x:f>IF(F10&gt;=7,"Crítico",IF(F10&gt;=4,"Alto",IF(F10&gt;=2,"Medio","Bajo")))</x:f>
        <x:v>Alto</x:v>
      </x:c>
      <x:c r="H10" s="108" t="str">
        <x:v>Backend</x:v>
      </x:c>
      <x:c r="I10" s="108" t="str">
        <x:v>Preferencias por evento, idempotencia, reintentos y métricas</x:v>
      </x:c>
      <x:c r="J10" s="110" t="str">
        <x:v>Resumen diario opcional y contacto alternativo</x:v>
      </x:c>
    </x:row>
    <x:row r="11" ht="54" customHeight="1">
      <x:c r="A11" s="92" t="str">
        <x:v>R7</x:v>
      </x:c>
      <x:c r="B11" s="77" t="str">
        <x:v>Falla de respaldo o recuperación incompleta</x:v>
      </x:c>
      <x:c r="C11" s="77" t="str">
        <x:v>Continuidad</x:v>
      </x:c>
      <x:c r="D11" s="87" t="n">
        <x:v>1</x:v>
      </x:c>
      <x:c r="E11" s="87" t="n">
        <x:v>3</x:v>
      </x:c>
      <x:c r="F11" s="87" t="n">
        <x:f>D11*E11</x:f>
        <x:v>3</x:v>
      </x:c>
      <x:c r="G11" s="87" t="str">
        <x:f>IF(F11&gt;=7,"Crítico",IF(F11&gt;=4,"Alto",IF(F11&gt;=2,"Medio","Bajo")))</x:f>
        <x:v>Medio</x:v>
      </x:c>
      <x:c r="H11" s="77" t="str">
        <x:v>DevOps</x:v>
      </x:c>
      <x:c r="I11" s="77" t="str">
        <x:v>Respaldo automatizado y prueba periódica de restauración</x:v>
      </x:c>
      <x:c r="J11" s="78" t="str">
        <x:v>Activar runbook, restaurar última copia válida y reconstruir eventos</x:v>
      </x:c>
    </x:row>
    <x:row r="12" ht="54" customHeight="1">
      <x:c r="A12" s="111" t="str">
        <x:v>R8</x:v>
      </x:c>
      <x:c r="B12" s="113" t="str">
        <x:v>Crecimiento descontrolado del alcance durante el MVP</x:v>
      </x:c>
      <x:c r="C12" s="113" t="str">
        <x:v>Gestión</x:v>
      </x:c>
      <x:c r="D12" s="112" t="n">
        <x:v>2</x:v>
      </x:c>
      <x:c r="E12" s="112" t="n">
        <x:v>2</x:v>
      </x:c>
      <x:c r="F12" s="112" t="n">
        <x:f>D12*E12</x:f>
        <x:v>4</x:v>
      </x:c>
      <x:c r="G12" s="112" t="str">
        <x:f>IF(F12&gt;=7,"Crítico",IF(F12&gt;=4,"Alto",IF(F12&gt;=2,"Medio","Bajo")))</x:f>
        <x:v>Alto</x:v>
      </x:c>
      <x:c r="H12" s="113" t="str">
        <x:v>PO / Líder</x:v>
      </x:c>
      <x:c r="I12" s="113" t="str">
        <x:v>Backlog priorizado, criterio de MVP y control de cambios</x:v>
      </x:c>
      <x:c r="J12" s="115" t="str">
        <x:v>Mover solicitudes no críticas al backlog posterior</x:v>
      </x:c>
    </x:row>
    <x:row r="14" ht="32" customHeight="1">
      <x:c r="A14" s="40" t="str">
        <x:v>Resumen</x:v>
      </x:c>
      <x:c r="B14" s="41" t="str">
        <x:v>Resumen</x:v>
      </x:c>
      <x:c r="C14" s="42" t="str">
        <x:v>Resumen</x:v>
      </x:c>
    </x:row>
    <x:row r="15" ht="32" customHeight="1">
      <x:c r="A15" s="136" t="str">
        <x:v>Nivel</x:v>
      </x:c>
      <x:c r="B15" s="137" t="str">
        <x:v>Cantidad</x:v>
      </x:c>
    </x:row>
    <x:row r="16">
      <x:c r="A16" s="73" t="str">
        <x:v>Crítico</x:v>
      </x:c>
      <x:c r="B16" s="75" t="n">
        <x:f>COUNTIF(G5:G12,"Crítico")</x:f>
        <x:v>1</x:v>
      </x:c>
    </x:row>
    <x:row r="17">
      <x:c r="A17" s="76" t="str">
        <x:v>Alto</x:v>
      </x:c>
      <x:c r="B17" s="78" t="n">
        <x:f>COUNTIF(G5:G12,"Alto")</x:f>
        <x:v>6</x:v>
      </x:c>
    </x:row>
    <x:row r="18">
      <x:c r="A18" s="79" t="str">
        <x:v>Medio / Bajo</x:v>
      </x:c>
      <x:c r="B18" s="81" t="n">
        <x:f>COUNTIF(G5:G12,"Medio")+COUNTIF(G5:G12,"Bajo")</x:f>
        <x:v>1</x:v>
      </x:c>
    </x:row>
  </x:sheetData>
  <x:mergeCells>
    <x:mergeCell ref="A1:J1"/>
    <x:mergeCell ref="A2:J2"/>
    <x:mergeCell ref="A14:C14"/>
  </x:mergeCells>
  <x:conditionalFormatting sqref="G5:G12">
    <x:cfRule type="containsText" dxfId="4" priority="1" operator="containsText" text="Crítico"/>
    <x:cfRule type="containsText" dxfId="5" priority="2" operator="containsText" text="Alto"/>
    <x:cfRule type="containsText" dxfId="6" priority="3" operator="containsText" text="Medio"/>
    <x:cfRule type="containsText" dxfId="7" priority="4" operator="containsText" text="Bajo"/>
  </x:conditionalFormatting>
  <x:dataValidations count="1">
    <x:dataValidation operator="between" sqref="D5:E12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4" hidden="0" customWidth="1"/>
    <x:col min="4" max="4" width="12" hidden="0" customWidth="1"/>
    <x:col min="5" max="5" width="12" hidden="0" customWidth="1"/>
    <x:col min="6" max="6" width="18" hidden="0" customWidth="1"/>
    <x:col min="7" max="7" width="43" hidden="0" customWidth="1"/>
  </x:cols>
  <x:sheetData>
    <x:row r="1" ht="34" customHeight="1">
      <x:c r="A1" s="4" t="str">
        <x:v>RedSolidaria — Plan de recursos</x:v>
      </x:c>
      <x:c r="B1" s="4" t="str">
        <x:v>RedSolidaria — Plan de recursos</x:v>
      </x:c>
      <x:c r="C1" s="4" t="str">
        <x:v>RedSolidaria — Plan de recursos</x:v>
      </x:c>
      <x:c r="D1" s="4" t="str">
        <x:v>RedSolidaria — Plan de recursos</x:v>
      </x:c>
      <x:c r="E1" s="4" t="str">
        <x:v>RedSolidaria — Plan de recursos</x:v>
      </x:c>
      <x:c r="F1" s="4" t="str">
        <x:v>RedSolidaria — Plan de recursos</x:v>
      </x:c>
      <x:c r="G1" s="4" t="str">
        <x:v>RedSolidaria — Plan de recursos</x:v>
      </x:c>
    </x:row>
    <x:row r="2" ht="30" customHeight="1">
      <x:c r="A2" s="8" t="str">
        <x:v>Estimación académica para un MVP. Ajustar cantidades y dedicaciones según disponibilidad real.</x:v>
      </x:c>
      <x:c r="B2" s="8" t="str">
        <x:v>Estimación académica para un MVP. Ajustar cantidades y dedicaciones según disponibilidad real.</x:v>
      </x:c>
      <x:c r="C2" s="8" t="str">
        <x:v>Estimación académica para un MVP. Ajustar cantidades y dedicaciones según disponibilidad real.</x:v>
      </x:c>
      <x:c r="D2" s="8" t="str">
        <x:v>Estimación académica para un MVP. Ajustar cantidades y dedicaciones según disponibilidad real.</x:v>
      </x:c>
      <x:c r="E2" s="8" t="str">
        <x:v>Estimación académica para un MVP. Ajustar cantidades y dedicaciones según disponibilidad real.</x:v>
      </x:c>
      <x:c r="F2" s="8" t="str">
        <x:v>Estimación académica para un MVP. Ajustar cantidades y dedicaciones según disponibilidad real.</x:v>
      </x:c>
      <x:c r="G2" s="8" t="str">
        <x:v>Estimación académica para un MVP. Ajustar cantidades y dedicaciones según disponibilidad real.</x:v>
      </x:c>
    </x:row>
    <x:row r="4" ht="32" customHeight="1">
      <x:c r="A4" s="52" t="str">
        <x:v>Recursos humanos</x:v>
      </x:c>
      <x:c r="B4" s="53" t="str">
        <x:v>Recursos humanos</x:v>
      </x:c>
      <x:c r="C4" s="53" t="str">
        <x:v>Recursos humanos</x:v>
      </x:c>
      <x:c r="D4" s="53" t="str">
        <x:v>Recursos humanos</x:v>
      </x:c>
      <x:c r="E4" s="53" t="str">
        <x:v>Recursos humanos</x:v>
      </x:c>
      <x:c r="F4" s="53" t="str">
        <x:v>Recursos humanos</x:v>
      </x:c>
      <x:c r="G4" s="54" t="str">
        <x:v>Recursos humanos</x:v>
      </x:c>
    </x:row>
    <x:row r="5" ht="32" customHeight="1">
      <x:c r="A5" s="40" t="str">
        <x:v>Rol</x:v>
      </x:c>
      <x:c r="B5" s="41" t="str">
        <x:v>Cantidad</x:v>
      </x:c>
      <x:c r="C5" s="41" t="str">
        <x:v>Dedicación</x:v>
      </x:c>
      <x:c r="D5" s="41" t="str">
        <x:v>Sprint inicio</x:v>
      </x:c>
      <x:c r="E5" s="41" t="str">
        <x:v>Sprint fin</x:v>
      </x:c>
      <x:c r="F5" s="41" t="str">
        <x:v>Capacidad
persona-semana</x:v>
      </x:c>
      <x:c r="G5" s="42" t="str">
        <x:v>Responsabilidad principal</x:v>
      </x:c>
    </x:row>
    <x:row r="6" ht="34" customHeight="1">
      <x:c r="A6" s="150" t="str">
        <x:v>Product Owner</x:v>
      </x:c>
      <x:c r="B6" s="151" t="n">
        <x:v>1</x:v>
      </x:c>
      <x:c r="C6" s="152" t="n">
        <x:v>0.25</x:v>
      </x:c>
      <x:c r="D6" s="151" t="n">
        <x:v>1</x:v>
      </x:c>
      <x:c r="E6" s="151" t="n">
        <x:v>6</x:v>
      </x:c>
      <x:c r="F6" s="153" t="n">
        <x:f>B6*C6*((E6-D6+1)*2)</x:f>
        <x:v>3</x:v>
      </x:c>
      <x:c r="G6" s="154" t="str">
        <x:v>Priorizar backlog, aclarar valor y aceptar resultados</x:v>
      </x:c>
    </x:row>
    <x:row r="7" ht="34" customHeight="1">
      <x:c r="A7" s="76" t="str">
        <x:v>Scrum Master / Líder</x:v>
      </x:c>
      <x:c r="B7" s="87" t="n">
        <x:v>1</x:v>
      </x:c>
      <x:c r="C7" s="146" t="n">
        <x:v>0.5</x:v>
      </x:c>
      <x:c r="D7" s="87" t="n">
        <x:v>1</x:v>
      </x:c>
      <x:c r="E7" s="87" t="n">
        <x:v>6</x:v>
      </x:c>
      <x:c r="F7" s="147" t="n">
        <x:f>B7*C7*((E7-D7+1)*2)</x:f>
        <x:v>6</x:v>
      </x:c>
      <x:c r="G7" s="78" t="str">
        <x:v>Facilitar el proceso, gestionar riesgos y bloqueos</x:v>
      </x:c>
    </x:row>
    <x:row r="8" ht="34" customHeight="1">
      <x:c r="A8" s="155" t="str">
        <x:v>Diseño UX/UI</x:v>
      </x:c>
      <x:c r="B8" s="107" t="n">
        <x:v>1</x:v>
      </x:c>
      <x:c r="C8" s="156" t="n">
        <x:v>0.5</x:v>
      </x:c>
      <x:c r="D8" s="107" t="n">
        <x:v>1</x:v>
      </x:c>
      <x:c r="E8" s="107" t="n">
        <x:v>3</x:v>
      </x:c>
      <x:c r="F8" s="157" t="n">
        <x:f>B8*C8*((E8-D8+1)*2)</x:f>
        <x:v>3</x:v>
      </x:c>
      <x:c r="G8" s="110" t="str">
        <x:v>Entrevistas, prototipos, accesibilidad y usabilidad</x:v>
      </x:c>
    </x:row>
    <x:row r="9" ht="34" customHeight="1">
      <x:c r="A9" s="76" t="str">
        <x:v>Frontend</x:v>
      </x:c>
      <x:c r="B9" s="87" t="n">
        <x:v>1</x:v>
      </x:c>
      <x:c r="C9" s="146" t="n">
        <x:v>1</x:v>
      </x:c>
      <x:c r="D9" s="87" t="n">
        <x:v>2</x:v>
      </x:c>
      <x:c r="E9" s="87" t="n">
        <x:v>6</x:v>
      </x:c>
      <x:c r="F9" s="147" t="n">
        <x:f>B9*C9*((E9-D9+1)*2)</x:f>
        <x:v>10</x:v>
      </x:c>
      <x:c r="G9" s="78" t="str">
        <x:v>Interfaz responsiva, estados e integración con API</x:v>
      </x:c>
    </x:row>
    <x:row r="10" ht="34" customHeight="1">
      <x:c r="A10" s="155" t="str">
        <x:v>Backend</x:v>
      </x:c>
      <x:c r="B10" s="107" t="n">
        <x:v>2</x:v>
      </x:c>
      <x:c r="C10" s="156" t="n">
        <x:v>1</x:v>
      </x:c>
      <x:c r="D10" s="107" t="n">
        <x:v>1</x:v>
      </x:c>
      <x:c r="E10" s="107" t="n">
        <x:v>6</x:v>
      </x:c>
      <x:c r="F10" s="157" t="n">
        <x:f>B10*C10*((E10-D10+1)*2)</x:f>
        <x:v>24</x:v>
      </x:c>
      <x:c r="G10" s="110" t="str">
        <x:v>API, reglas de negocio, datos e integraciones</x:v>
      </x:c>
    </x:row>
    <x:row r="11" ht="34" customHeight="1">
      <x:c r="A11" s="76" t="str">
        <x:v>QA / Pruebas</x:v>
      </x:c>
      <x:c r="B11" s="87" t="n">
        <x:v>1</x:v>
      </x:c>
      <x:c r="C11" s="146" t="n">
        <x:v>0.5</x:v>
      </x:c>
      <x:c r="D11" s="87" t="n">
        <x:v>2</x:v>
      </x:c>
      <x:c r="E11" s="87" t="n">
        <x:v>6</x:v>
      </x:c>
      <x:c r="F11" s="147" t="n">
        <x:f>B11*C11*((E11-D11+1)*2)</x:f>
        <x:v>5</x:v>
      </x:c>
      <x:c r="G11" s="78" t="str">
        <x:v>Casos, automatización, carga y aceptación</x:v>
      </x:c>
    </x:row>
    <x:row r="12" ht="34" customHeight="1">
      <x:c r="A12" s="158" t="str">
        <x:v>DevOps / Seguridad</x:v>
      </x:c>
      <x:c r="B12" s="112" t="n">
        <x:v>1</x:v>
      </x:c>
      <x:c r="C12" s="159" t="n">
        <x:v>0.25</x:v>
      </x:c>
      <x:c r="D12" s="112" t="n">
        <x:v>1</x:v>
      </x:c>
      <x:c r="E12" s="112" t="n">
        <x:v>6</x:v>
      </x:c>
      <x:c r="F12" s="160" t="n">
        <x:f>B12*C12*((E12-D12+1)*2)</x:f>
        <x:v>3</x:v>
      </x:c>
      <x:c r="G12" s="115" t="str">
        <x:v>CI/CD, ambientes, monitoreo, respaldo y seguridad</x:v>
      </x:c>
    </x:row>
    <x:row r="14" ht="32" customHeight="1">
      <x:c r="A14" s="52" t="str">
        <x:v>Recursos tecnológicos e infraestructura</x:v>
      </x:c>
      <x:c r="B14" s="53" t="str">
        <x:v>Recursos tecnológicos e infraestructura</x:v>
      </x:c>
      <x:c r="C14" s="53" t="str">
        <x:v>Recursos tecnológicos e infraestructura</x:v>
      </x:c>
      <x:c r="D14" s="53" t="str">
        <x:v>Recursos tecnológicos e infraestructura</x:v>
      </x:c>
      <x:c r="E14" s="53" t="str">
        <x:v>Recursos tecnológicos e infraestructura</x:v>
      </x:c>
      <x:c r="F14" s="53" t="str">
        <x:v>Recursos tecnológicos e infraestructura</x:v>
      </x:c>
      <x:c r="G14" s="54" t="str">
        <x:v>Recursos tecnológicos e infraestructura</x:v>
      </x:c>
    </x:row>
    <x:row r="15" ht="32" customHeight="1">
      <x:c r="A15" s="40" t="str">
        <x:v>Categoría</x:v>
      </x:c>
      <x:c r="B15" s="41" t="str">
        <x:v>Recurso</x:v>
      </x:c>
      <x:c r="C15" s="41" t="str">
        <x:v>Uso / criterio</x:v>
      </x:c>
      <x:c r="D15" s="41"/>
      <x:c r="E15" s="41"/>
      <x:c r="F15" s="41"/>
      <x:c r="G15" s="42"/>
    </x:row>
    <x:row r="16" ht="30" customHeight="1">
      <x:c r="A16" s="170" t="str">
        <x:v>Gestión</x:v>
      </x:c>
      <x:c r="B16" s="171" t="str">
        <x:v>Jira o tablero equivalente</x:v>
      </x:c>
      <x:c r="C16" s="171" t="str">
        <x:v>Backlog, sprints, incidencias, riesgos y evidencia de seguimiento</x:v>
      </x:c>
      <x:c r="D16" s="171" t="str">
        <x:v>Backlog, sprints, incidencias, riesgos y evidencia de seguimiento</x:v>
      </x:c>
      <x:c r="E16" s="171" t="str">
        <x:v>Backlog, sprints, incidencias, riesgos y evidencia de seguimiento</x:v>
      </x:c>
      <x:c r="F16" s="171" t="str">
        <x:v>Backlog, sprints, incidencias, riesgos y evidencia de seguimiento</x:v>
      </x:c>
      <x:c r="G16" s="172" t="str">
        <x:v>Backlog, sprints, incidencias, riesgos y evidencia de seguimiento</x:v>
      </x:c>
    </x:row>
    <x:row r="17" ht="30" customHeight="1">
      <x:c r="A17" s="167" t="str">
        <x:v>Diseño</x:v>
      </x:c>
      <x:c r="B17" s="168" t="str">
        <x:v>Figma</x:v>
      </x:c>
      <x:c r="C17" s="168" t="str">
        <x:v>Prototipos navegables, sistema visual y pruebas de flujo</x:v>
      </x:c>
      <x:c r="D17" s="168" t="str">
        <x:v>Prototipos navegables, sistema visual y pruebas de flujo</x:v>
      </x:c>
      <x:c r="E17" s="168" t="str">
        <x:v>Prototipos navegables, sistema visual y pruebas de flujo</x:v>
      </x:c>
      <x:c r="F17" s="168" t="str">
        <x:v>Prototipos navegables, sistema visual y pruebas de flujo</x:v>
      </x:c>
      <x:c r="G17" s="169" t="str">
        <x:v>Prototipos navegables, sistema visual y pruebas de flujo</x:v>
      </x:c>
    </x:row>
    <x:row r="18" ht="30" customHeight="1">
      <x:c r="A18" s="170" t="str">
        <x:v>Código</x:v>
      </x:c>
      <x:c r="B18" s="171" t="str">
        <x:v>Git + revisión por pull request</x:v>
      </x:c>
      <x:c r="C18" s="171" t="str">
        <x:v>Control de versiones, trazabilidad y revisión técnica</x:v>
      </x:c>
      <x:c r="D18" s="171" t="str">
        <x:v>Control de versiones, trazabilidad y revisión técnica</x:v>
      </x:c>
      <x:c r="E18" s="171" t="str">
        <x:v>Control de versiones, trazabilidad y revisión técnica</x:v>
      </x:c>
      <x:c r="F18" s="171" t="str">
        <x:v>Control de versiones, trazabilidad y revisión técnica</x:v>
      </x:c>
      <x:c r="G18" s="172" t="str">
        <x:v>Control de versiones, trazabilidad y revisión técnica</x:v>
      </x:c>
    </x:row>
    <x:row r="19" ht="30" customHeight="1">
      <x:c r="A19" s="167" t="str">
        <x:v>Aplicación</x:v>
      </x:c>
      <x:c r="B19" s="168" t="str">
        <x:v>Frontend web + API REST + PostgreSQL</x:v>
      </x:c>
      <x:c r="C19" s="168" t="str">
        <x:v>Monolito modular desplegable como una unidad</x:v>
      </x:c>
      <x:c r="D19" s="168" t="str">
        <x:v>Monolito modular desplegable como una unidad</x:v>
      </x:c>
      <x:c r="E19" s="168" t="str">
        <x:v>Monolito modular desplegable como una unidad</x:v>
      </x:c>
      <x:c r="F19" s="168" t="str">
        <x:v>Monolito modular desplegable como una unidad</x:v>
      </x:c>
      <x:c r="G19" s="169" t="str">
        <x:v>Monolito modular desplegable como una unidad</x:v>
      </x:c>
    </x:row>
    <x:row r="20" ht="30" customHeight="1">
      <x:c r="A20" s="170" t="str">
        <x:v>Infraestructura</x:v>
      </x:c>
      <x:c r="B20" s="171" t="str">
        <x:v>Desarrollo, pruebas y producción</x:v>
      </x:c>
      <x:c r="C20" s="171" t="str">
        <x:v>Separación de ambientes, secretos gestionados y almacenamiento de objetos</x:v>
      </x:c>
      <x:c r="D20" s="171" t="str">
        <x:v>Separación de ambientes, secretos gestionados y almacenamiento de objetos</x:v>
      </x:c>
      <x:c r="E20" s="171" t="str">
        <x:v>Separación de ambientes, secretos gestionados y almacenamiento de objetos</x:v>
      </x:c>
      <x:c r="F20" s="171" t="str">
        <x:v>Separación de ambientes, secretos gestionados y almacenamiento de objetos</x:v>
      </x:c>
      <x:c r="G20" s="172" t="str">
        <x:v>Separación de ambientes, secretos gestionados y almacenamiento de objetos</x:v>
      </x:c>
    </x:row>
    <x:row r="21" ht="30" customHeight="1">
      <x:c r="A21" s="167" t="str">
        <x:v>Servicios externos</x:v>
      </x:c>
      <x:c r="B21" s="168" t="str">
        <x:v>Mapas/geocodificación y correo/SMS</x:v>
      </x:c>
      <x:c r="C21" s="168" t="str">
        <x:v>Integraciones desacopladas con reintentos y degradación controlada</x:v>
      </x:c>
      <x:c r="D21" s="168" t="str">
        <x:v>Integraciones desacopladas con reintentos y degradación controlada</x:v>
      </x:c>
      <x:c r="E21" s="168" t="str">
        <x:v>Integraciones desacopladas con reintentos y degradación controlada</x:v>
      </x:c>
      <x:c r="F21" s="168" t="str">
        <x:v>Integraciones desacopladas con reintentos y degradación controlada</x:v>
      </x:c>
      <x:c r="G21" s="169" t="str">
        <x:v>Integraciones desacopladas con reintentos y degradación controlada</x:v>
      </x:c>
    </x:row>
    <x:row r="22" ht="30" customHeight="1">
      <x:c r="A22" s="170" t="str">
        <x:v>Calidad</x:v>
      </x:c>
      <x:c r="B22" s="171" t="str">
        <x:v>Pruebas unitarias, integración, E2E y carga</x:v>
      </x:c>
      <x:c r="C22" s="171" t="str">
        <x:v>Verificación continua de criterios funcionales y no funcionales</x:v>
      </x:c>
      <x:c r="D22" s="171" t="str">
        <x:v>Verificación continua de criterios funcionales y no funcionales</x:v>
      </x:c>
      <x:c r="E22" s="171" t="str">
        <x:v>Verificación continua de criterios funcionales y no funcionales</x:v>
      </x:c>
      <x:c r="F22" s="171" t="str">
        <x:v>Verificación continua de criterios funcionales y no funcionales</x:v>
      </x:c>
      <x:c r="G22" s="172" t="str">
        <x:v>Verificación continua de criterios funcionales y no funcionales</x:v>
      </x:c>
    </x:row>
    <x:row r="23" ht="30" customHeight="1">
      <x:c r="A23" s="167" t="str">
        <x:v>Operación</x:v>
      </x:c>
      <x:c r="B23" s="168" t="str">
        <x:v>Monitoreo y respaldos</x:v>
      </x:c>
      <x:c r="C23" s="168" t="str">
        <x:v>Alertas de disponibilidad/latencia y restauración documentada</x:v>
      </x:c>
      <x:c r="D23" s="168" t="str">
        <x:v>Alertas de disponibilidad/latencia y restauración documentada</x:v>
      </x:c>
      <x:c r="E23" s="168" t="str">
        <x:v>Alertas de disponibilidad/latencia y restauración documentada</x:v>
      </x:c>
      <x:c r="F23" s="168" t="str">
        <x:v>Alertas de disponibilidad/latencia y restauración documentada</x:v>
      </x:c>
      <x:c r="G23" s="169" t="str">
        <x:v>Alertas de disponibilidad/latencia y restauración documentada</x:v>
      </x:c>
    </x:row>
  </x:sheetData>
  <x:mergeCells>
    <x:mergeCell ref="A1:G1"/>
    <x:mergeCell ref="A2:G2"/>
    <x:mergeCell ref="A4:G4"/>
    <x:mergeCell ref="A14:G14"/>
    <x:mergeCell ref="C15:G15"/>
    <x:mergeCell ref="C16:G16"/>
    <x:mergeCell ref="C17:G17"/>
    <x:mergeCell ref="C18:G18"/>
    <x:mergeCell ref="C19:G19"/>
    <x:mergeCell ref="C20:G20"/>
    <x:mergeCell ref="C21:G21"/>
    <x:mergeCell ref="C22:G22"/>
    <x:mergeCell ref="C23:G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62" hidden="0" customWidth="1"/>
    <x:col min="4" max="4" width="22" hidden="0" customWidth="1"/>
  </x:cols>
  <x:sheetData>
    <x:row r="1" ht="34" customHeight="1">
      <x:c r="A1" s="4" t="str">
        <x:v>RedSolidaria — Guía de uso y referencias</x:v>
      </x:c>
      <x:c r="B1" s="4" t="str">
        <x:v>RedSolidaria — Guía de uso y referencias</x:v>
      </x:c>
      <x:c r="C1" s="4" t="str">
        <x:v>RedSolidaria — Guía de uso y referencias</x:v>
      </x:c>
      <x:c r="D1" s="4" t="str">
        <x:v>RedSolidaria — Guía de uso y referencias</x:v>
      </x:c>
    </x:row>
    <x:row r="2" ht="30" customHeight="1">
      <x:c r="A2" s="8" t="str">
        <x:v>El libro complementa el informe. Los supuestos deben validarse con participantes reales antes de iniciar desarrollo.</x:v>
      </x:c>
      <x:c r="B2" s="8" t="str">
        <x:v>El libro complementa el informe. Los supuestos deben validarse con participantes reales antes de iniciar desarrollo.</x:v>
      </x:c>
      <x:c r="C2" s="8" t="str">
        <x:v>El libro complementa el informe. Los supuestos deben validarse con participantes reales antes de iniciar desarrollo.</x:v>
      </x:c>
      <x:c r="D2" s="8" t="str">
        <x:v>El libro complementa el informe. Los supuestos deben validarse con participantes reales antes de iniciar desarrollo.</x:v>
      </x:c>
    </x:row>
    <x:row r="4" ht="32" customHeight="1">
      <x:c r="A4" s="52" t="str">
        <x:v>Elemento</x:v>
      </x:c>
      <x:c r="B4" s="53" t="str">
        <x:v>Qué editar</x:v>
      </x:c>
      <x:c r="C4" s="53" t="str">
        <x:v>Resultado</x:v>
      </x:c>
      <x:c r="D4" s="54" t="str">
        <x:v>Recomendación</x:v>
      </x:c>
    </x:row>
    <x:row r="5" ht="42" customHeight="1">
      <x:c r="A5" s="73" t="str">
        <x:v>Cronograma</x:v>
      </x:c>
      <x:c r="B5" s="74" t="str">
        <x:v>Inicio, Fin y Estado</x:v>
      </x:c>
      <x:c r="C5" s="74" t="str">
        <x:v>Duración, barras e indicadores se recalculan</x:v>
      </x:c>
      <x:c r="D5" s="75" t="str">
        <x:v>Actualizar al cierre de cada Daily o al menos dos veces por semana</x:v>
      </x:c>
    </x:row>
    <x:row r="6" ht="42" customHeight="1">
      <x:c r="A6" s="76" t="str">
        <x:v>Riesgos</x:v>
      </x:c>
      <x:c r="B6" s="77" t="str">
        <x:v>Probabilidad, Impacto, responsable y acciones</x:v>
      </x:c>
      <x:c r="C6" s="77" t="str">
        <x:v>Puntaje y nivel se recalculan</x:v>
      </x:c>
      <x:c r="D6" s="78" t="str">
        <x:v>Revisar en la planificación de sprint y ante cambios externos</x:v>
      </x:c>
    </x:row>
    <x:row r="7" ht="42" customHeight="1">
      <x:c r="A7" s="76" t="str">
        <x:v>Recursos</x:v>
      </x:c>
      <x:c r="B7" s="77" t="str">
        <x:v>Cantidad, dedicación y rango de sprints</x:v>
      </x:c>
      <x:c r="C7" s="77" t="str">
        <x:v>Capacidad estimada en persona-semana</x:v>
      </x:c>
      <x:c r="D7" s="78" t="str">
        <x:v>No confundir capacidad con horas facturables</x:v>
      </x:c>
    </x:row>
    <x:row r="8" ht="42" customHeight="1">
      <x:c r="A8" s="79" t="str">
        <x:v>Supuestos</x:v>
      </x:c>
      <x:c r="B8" s="80" t="str">
        <x:v>Cobertura, actores, tecnología y criterios</x:v>
      </x:c>
      <x:c r="C8" s="80" t="str">
        <x:v>Plan consistente con el contexto real</x:v>
      </x:c>
      <x:c r="D8" s="81" t="str">
        <x:v>Registrar toda decisión que cambie alcance, plazo o calidad</x:v>
      </x:c>
    </x:row>
    <x:row r="9" ht="42" customHeight="1"/>
    <x:row r="10" ht="42" customHeight="1">
      <x:c r="A10" s="40" t="str">
        <x:v>Fuente oficial</x:v>
      </x:c>
      <x:c r="B10" s="41" t="str">
        <x:v>Uso en el proyecto</x:v>
      </x:c>
      <x:c r="C10" s="41" t="str">
        <x:v>URL</x:v>
      </x:c>
      <x:c r="D10" s="42" t="str">
        <x:v>Consulta</x:v>
      </x:c>
    </x:row>
    <x:row r="11" ht="42" customHeight="1">
      <x:c r="A11" s="73" t="str">
        <x:v>Guía Scrum 2020</x:v>
      </x:c>
      <x:c r="B11" s="74" t="str">
        <x:v>Roles, eventos, artefactos y sprints</x:v>
      </x:c>
      <x:c r="C11" s="173" t="str">
        <x:v>https://scrumguides.org/docs/scrumguide/v2020/2020-Scrum-Guide-Spanish-European.pdf</x:v>
      </x:c>
      <x:c r="D11" s="75" t="str">
        <x:v>Metodología</x:v>
      </x:c>
    </x:row>
    <x:row r="12" ht="42" customHeight="1">
      <x:c r="A12" s="76" t="str">
        <x:v>OWASP ASVS</x:v>
      </x:c>
      <x:c r="B12" s="77" t="str">
        <x:v>Controles y verificación de seguridad</x:v>
      </x:c>
      <x:c r="C12" s="174" t="str">
        <x:v>https://owasp.org/www-project-application-security-verification-standard/</x:v>
      </x:c>
      <x:c r="D12" s="78" t="str">
        <x:v>Seguridad</x:v>
      </x:c>
    </x:row>
    <x:row r="13" ht="42" customHeight="1">
      <x:c r="A13" s="79" t="str">
        <x:v>W3C WCAG 2.2</x:v>
      </x:c>
      <x:c r="B13" s="80" t="str">
        <x:v>Criterios de accesibilidad web</x:v>
      </x:c>
      <x:c r="C13" s="175" t="str">
        <x:v>https://www.w3.org/TR/WCAG22/</x:v>
      </x:c>
      <x:c r="D13" s="81" t="str">
        <x:v>Accesibilidad</x:v>
      </x:c>
    </x:row>
  </x:sheetData>
  <x:mergeCells>
    <x:mergeCell ref="A1:D1"/>
    <x:mergeCell ref="A2:D2"/>
  </x:mergeCells>
  <x:pageMargins left="0.7" right="0.7" top="0.75" bottom="0.75" header="0.3" footer="0.3"/>
</x:worksheet>
</file>